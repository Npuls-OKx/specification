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surf.sharepoint.com/sites/m365-NplsWnd-team/Gedeelde documenten/02. Ontsluiten van het onderwijs-aanbod/02. OKx/11. BOP-SI/02. Producten/Definitiemapping MORA OOAPI Synoniemen/"/>
    </mc:Choice>
  </mc:AlternateContent>
  <xr:revisionPtr revIDLastSave="2422" documentId="8_{A81E58E8-6271-432F-AC0D-289002559C79}" xr6:coauthVersionLast="47" xr6:coauthVersionMax="47" xr10:uidLastSave="{78C04E02-FD3D-4FF8-9088-EB95A5B3F07E}"/>
  <bookViews>
    <workbookView xWindow="43080" yWindow="-11295" windowWidth="38640" windowHeight="15720" tabRatio="346" firstSheet="1" activeTab="3" xr2:uid="{00000000-000D-0000-FFFF-FFFF00000000}"/>
  </bookViews>
  <sheets>
    <sheet name="Gebruik" sheetId="2" state="hidden" r:id="rId1"/>
    <sheet name="Overzicht" sheetId="4" r:id="rId2"/>
    <sheet name="DefinitieMapping" sheetId="1" r:id="rId3"/>
    <sheet name="InstellingMapping" sheetId="5" r:id="rId4"/>
    <sheet name="Mapping uitleg NvD" sheetId="6" r:id="rId5"/>
    <sheet name="Lookup"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55" i="1" l="1"/>
  <c r="C755" i="1"/>
  <c r="C756" i="1"/>
  <c r="B756" i="1"/>
  <c r="B755"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<sst xmlns="http://schemas.openxmlformats.org/spreadsheetml/2006/main" count="4251" uniqueCount="1750">
  <si>
    <t>Uitleg over de werking van de mapping</t>
  </si>
  <si>
    <r>
      <t xml:space="preserve">De MORA–OOAPI mapping helpt om een </t>
    </r>
    <r>
      <rPr>
        <b/>
        <sz val="11"/>
        <color theme="1"/>
        <rFont val="Calibri"/>
        <family val="2"/>
        <scheme val="minor"/>
      </rPr>
      <t>gemeenschappelijke taal</t>
    </r>
    <r>
      <rPr>
        <sz val="11"/>
        <color theme="1"/>
        <rFont val="Calibri"/>
        <family val="2"/>
        <scheme val="minor"/>
      </rPr>
      <t xml:space="preserve"> te gebruiken bij het ontwerpen en bespreken van onderwijsarchitecturen.</t>
    </r>
  </si>
  <si>
    <r>
      <t xml:space="preserve">In de mapping zijn naast de officiële </t>
    </r>
    <r>
      <rPr>
        <b/>
        <sz val="11"/>
        <color theme="1"/>
        <rFont val="Calibri"/>
        <family val="2"/>
        <scheme val="minor"/>
      </rPr>
      <t>MORA-definities</t>
    </r>
    <r>
      <rPr>
        <sz val="11"/>
        <color theme="1"/>
        <rFont val="Calibri"/>
        <family val="2"/>
        <scheme val="minor"/>
      </rPr>
      <t xml:space="preserve"> ook veelvoorkomende </t>
    </r>
    <r>
      <rPr>
        <b/>
        <sz val="11"/>
        <color theme="1"/>
        <rFont val="Calibri"/>
        <family val="2"/>
        <scheme val="minor"/>
      </rPr>
      <t>synoniemen</t>
    </r>
    <r>
      <rPr>
        <sz val="11"/>
        <color theme="1"/>
        <rFont val="Calibri"/>
        <family val="2"/>
        <scheme val="minor"/>
      </rPr>
      <t xml:space="preserve"> opgenomen. Deze synoniemen zijn bedoeld als hulpmiddel om herkenning te bieden vanuit de praktijk.</t>
    </r>
  </si>
  <si>
    <r>
      <t xml:space="preserve">Het is echter belangrijk dat in discussies en documentatie </t>
    </r>
    <r>
      <rPr>
        <b/>
        <sz val="11"/>
        <color theme="1"/>
        <rFont val="Calibri"/>
        <family val="2"/>
        <scheme val="minor"/>
      </rPr>
      <t>altijd de MORA-definitie wordt gebruikt</t>
    </r>
    <r>
      <rPr>
        <sz val="11"/>
        <color theme="1"/>
        <rFont val="Calibri"/>
        <family val="2"/>
        <scheme val="minor"/>
      </rPr>
      <t xml:space="preserve">. </t>
    </r>
  </si>
  <si>
    <t>De synoniemen dienen vooral als verwijzing of zoekhulp, bijvoorbeeld om de aansluiting te vinden met bestaande terminologie binnen een instelling of bij leveranciers.</t>
  </si>
  <si>
    <t xml:space="preserve">Zo spreken alle betrokkenen over hetzelfde begrip, zonder ruis of interpretatieverschillen. </t>
  </si>
  <si>
    <t>Door consequent te spreken in termen van de MORA-definities:</t>
  </si>
  <si>
    <r>
      <t xml:space="preserve">ontstaat er </t>
    </r>
    <r>
      <rPr>
        <b/>
        <sz val="11"/>
        <color theme="1"/>
        <rFont val="Calibri"/>
        <family val="2"/>
        <scheme val="minor"/>
      </rPr>
      <t>eenduidigheid</t>
    </r>
    <r>
      <rPr>
        <sz val="11"/>
        <color theme="1"/>
        <rFont val="Calibri"/>
        <family val="2"/>
        <scheme val="minor"/>
      </rPr>
      <t xml:space="preserve"> in communicatie,</t>
    </r>
  </si>
  <si>
    <r>
      <rPr>
        <sz val="11"/>
        <color rgb="FF000000"/>
        <rFont val="Calibri"/>
        <family val="2"/>
        <scheme val="minor"/>
      </rPr>
      <t xml:space="preserve">worden </t>
    </r>
    <r>
      <rPr>
        <b/>
        <sz val="11"/>
        <color rgb="FF000000"/>
        <rFont val="Calibri"/>
        <family val="2"/>
        <scheme val="minor"/>
      </rPr>
      <t>misverstanden voorkomen</t>
    </r>
    <r>
      <rPr>
        <sz val="11"/>
        <color rgb="FF000000"/>
        <rFont val="Calibri"/>
        <family val="2"/>
        <scheme val="minor"/>
      </rPr>
      <t>,</t>
    </r>
  </si>
  <si>
    <r>
      <rPr>
        <sz val="11"/>
        <color rgb="FF000000"/>
        <rFont val="Calibri"/>
        <family val="2"/>
        <scheme val="minor"/>
      </rPr>
      <t xml:space="preserve">en kan de mapping als stevige basis dienen voor integratie met standaarden zoals </t>
    </r>
    <r>
      <rPr>
        <b/>
        <sz val="11"/>
        <color rgb="FF000000"/>
        <rFont val="Calibri"/>
        <family val="2"/>
        <scheme val="minor"/>
      </rPr>
      <t>OOAPI v5 (en straks v6)</t>
    </r>
    <r>
      <rPr>
        <sz val="11"/>
        <color rgb="FF000000"/>
        <rFont val="Calibri"/>
        <family val="2"/>
        <scheme val="minor"/>
      </rPr>
      <t>.</t>
    </r>
  </si>
  <si>
    <r>
      <t xml:space="preserve">Synoniemen zijn er dus om de herkenbaarheid te vergroten, maar de </t>
    </r>
    <r>
      <rPr>
        <b/>
        <sz val="11"/>
        <color theme="1"/>
        <rFont val="Calibri"/>
        <family val="2"/>
        <scheme val="minor"/>
      </rPr>
      <t>MORA-definitie is leidend</t>
    </r>
    <r>
      <rPr>
        <sz val="11"/>
        <color theme="1"/>
        <rFont val="Calibri"/>
        <family val="2"/>
        <scheme val="minor"/>
      </rPr>
      <t>.</t>
    </r>
  </si>
  <si>
    <t>Changelog</t>
  </si>
  <si>
    <t>Versie</t>
  </si>
  <si>
    <t>Omschrijving</t>
  </si>
  <si>
    <t>Datum</t>
  </si>
  <si>
    <t>Auteur</t>
  </si>
  <si>
    <t>v0.1</t>
  </si>
  <si>
    <t>Directe extractie van MORA definitiekader. Bevindig: te breed voor OKx scope. Met de kam er doorheen. OOAPI modelering uitdagend, hoe leg je relatie tussen processtappen, objecten en OOAPI models op begrijpbare wijze. </t>
  </si>
  <si>
    <t>Niek Derksen</t>
  </si>
  <si>
    <t>v0.2</t>
  </si>
  <si>
    <t>ArchiMate object type toegevoegd t.b.h.v. Filtering, e.g. "business object, Business process, application compontent, etc". OOAPI v5 mapping verder uitgebreid maar nog niet adequaat.</t>
  </si>
  <si>
    <t>v0.3</t>
  </si>
  <si>
    <t>Domein en procesketen zoals bekend binnen mora toegevoegd om binnen OKX (en andere contexten die in toekomst gebruik willen maken van deze mapping) relevante objecten te kunnen laten zien. OOAPI v5 mapping verder uitgebreid maar nog niet adequaat.</t>
  </si>
  <si>
    <t>v0.4 [WIP]</t>
  </si>
  <si>
    <t>Toegevoegde kolom: betrokken koppelvlak om makkelijk te kunnen filteren op proces. Velden moeten nog worden gevuld.</t>
  </si>
  <si>
    <t>De MORA–OOAPI mapping helpt om een gemeenschappelijke taal te gebruiken bij het ontwerpen en bespreken van onderwijsarchitecturen.</t>
  </si>
  <si>
    <t>In de mapping zijn naast de officiële MORA-definities ook veelvoorkomende synoniemen opgenomen. Deze synoniemen zijn bedoeld als hulpmiddel om herkenning te bieden vanuit de praktijk.</t>
  </si>
  <si>
    <t xml:space="preserve">Het is echter belangrijk dat in discussies en documentatie altijd de MORA-definitie wordt gebruikt. </t>
  </si>
  <si>
    <t>ontstaat er eenduidigheid in communicatie,</t>
  </si>
  <si>
    <t>worden misverstanden voorkomen,</t>
  </si>
  <si>
    <t>en kan de mapping als stevige basis dienen voor integratie met standaarden zoals OOAPI v5 (en straks v6).</t>
  </si>
  <si>
    <t>Synoniemen zijn er dus om de herkenbaarheid te vergroten, maar de MORA-definitie is leidend.</t>
  </si>
  <si>
    <t>Algemene opmerkingen:</t>
  </si>
  <si>
    <t>OO-API is in de basis opgezet voor transactionele doeleinden, voor analyse zijn er geen endpoints gedefinieerd. Daarom hebben wij bij al deze onderdelen aangegeven dat de OOAPI hier niet in voorziet</t>
  </si>
  <si>
    <t>ID</t>
  </si>
  <si>
    <t>mapbaar v5</t>
  </si>
  <si>
    <t>mapbaar v6</t>
  </si>
  <si>
    <t>Definitie</t>
  </si>
  <si>
    <t>Type</t>
  </si>
  <si>
    <t>Hoofdproces</t>
  </si>
  <si>
    <t>Domein</t>
  </si>
  <si>
    <t>MORA Definitie</t>
  </si>
  <si>
    <t>Betrokken koppelvlak</t>
  </si>
  <si>
    <t>Operationele Synoniemen</t>
  </si>
  <si>
    <t>Opmerking</t>
  </si>
  <si>
    <t>OOAPI v5 model</t>
  </si>
  <si>
    <t>OOAPI v5 model URL</t>
  </si>
  <si>
    <t>Rio</t>
  </si>
  <si>
    <t>Geaggregeerde informatie</t>
  </si>
  <si>
    <t>Opmerkingen mapping v5</t>
  </si>
  <si>
    <t>OOAPI v6 Model</t>
  </si>
  <si>
    <t>OOAPI v6 Model URL</t>
  </si>
  <si>
    <t>Opmerkingen mapping v6</t>
  </si>
  <si>
    <t>Aanbestedingen beheer</t>
  </si>
  <si>
    <t>ApplicationComponent</t>
  </si>
  <si>
    <t>Een systeem dat het uitvoeren van aanbestedingen ondersteunt._x000D_
_x000D_
Voorbeeld_x000D_
Negometrix System_x000D_
Tendernet</t>
  </si>
  <si>
    <t>-</t>
  </si>
  <si>
    <t>Aanmeld systeem</t>
  </si>
  <si>
    <t>Een systeem waarmee individuen zich kunnen aanmelden voor een opleiding bij een onderwijsinstelling._x000D_
_x000D_
Denk aan VVA, CA, PortalPlus enz..</t>
  </si>
  <si>
    <t>Aanwezigheidregistratie systeem</t>
  </si>
  <si>
    <t>Een systeem voor de registratie, de analyse en uitwisseling van aan- en afwezigheid en (on)georloofd verzuim. Voorziet ook in de koppeling naar het verzuimloket.</t>
  </si>
  <si>
    <t>Alumni beheer</t>
  </si>
  <si>
    <t>Een systeem voor het registreren van alumni en het onderhouden van het contact hiermee door het aanbieden van informatie, aanbiedingen, evenementen, vervolgopleidingen en bijeenkomsten_x000D_
_x000D_
Bijvoorbeeld:_x000D_
Graduway</t>
  </si>
  <si>
    <t>Applicatie beheer systeem</t>
  </si>
  <si>
    <t xml:space="preserve">Verzamelbegrip van applicaties t.b.v. functioneel of technische (applicatie)beheer zoals Topdesk._x000D_
</t>
  </si>
  <si>
    <t>Architectuur beheer systeem</t>
  </si>
  <si>
    <t xml:space="preserve">Een systeem die het beschrijven en beheren van de enterprise-architectuur, de organisatie strategie en de organisatie uitlijning ondersteunt. </t>
  </si>
  <si>
    <t>Audio/video streaming systemen</t>
  </si>
  <si>
    <t>Verzamelbegrip voor systemen voor het creeren, bewerken, delen, live uitzenden of opslaan van audio en/of video naar gespecificeerde doelgroepen._x000D_
_x000D_
Dit omvat ook de meer professionele videoplatformen van een openleercentrum bestaande uit een (mobiele) studio-opname apparatuur._x000D_
_x000D_
Voorbeeld:_x000D_
* Mediasite van SonicFoundry_x000D_
* Kultura</t>
  </si>
  <si>
    <t>Backup systeem</t>
  </si>
  <si>
    <t>Een systeem voor het maken van kopieen van bestanden en gegvens._x000D_
_x000D_
Bijvoorbeeld:_x000D_
DPM_x000D_
Comvault</t>
  </si>
  <si>
    <t>Betaal systeem</t>
  </si>
  <si>
    <t>Verzamelbegrip van systemen waarmee (fysieke en/of digitale) betalingen kunnen worden gedaan of ontvangen._x000D_
_x000D_
Voorbeeld:_x000D_
Pin apparatuur bij printers en in restaurant_x000D_
PayPro_x000D_
Zakelijke bankomgeving van Rabo</t>
  </si>
  <si>
    <t>BPV systeem</t>
  </si>
  <si>
    <t>Een systeem voor het beheren en publiceren van vraag en aanbod van stageplaatsen, het ondersteunen van het zoeken o.b.v. criteria, en het ondersteunen van het aanmelden/solliciteren/matchen en het begeleiden tijdens de BPV._x000D_
_x000D_
Bijvoorbeeld:_x000D_
Stagemarkt</t>
  </si>
  <si>
    <t>Business intelligence</t>
  </si>
  <si>
    <t xml:space="preserve">Een systeem voor het verzamelen, analyseren , voorspellen en presenteren van gegevens, o.a. voor het maken van beslissingen (decision making)_x000D_
_x000D_
Van hindsight, naar insight tot foresight:_x000D_
* wat gebeurde er_x000D_
* waarom gebeurde dit_x000D_
* wat zou er gebeuren_x000D_
* hoe kunnen we het laten gebeuren_x000D_
_x000D_
Dit omvat ondermeer:_x000D_
* Datamining_x000D_
* Datawarehouse _x000D_
* Data lake_x000D_
* AI - machine learning_x000D_
* Dashboards_x000D_
* is onderdeel van data science_x000D_
_x000D_
</t>
  </si>
  <si>
    <t>Business process management systeem</t>
  </si>
  <si>
    <t>BPM is een systeem dat het ontwerpen en beheren van (bedrijfs)processen ondersteunt._x000D_
_x000D_
Voorbeeld_x000D_
IBM Business Process Manager</t>
  </si>
  <si>
    <t>Content Management Systeem (CMS)</t>
  </si>
  <si>
    <t>Een systeem  verantwoordelijk voor het het managen van creatie en manipulatie van digitale bronnen. Voorbeeld is bijvoorbeeld het beheer van aangeboden webcontent._x000D_
_x000D_
Zoals:_x000D_
het ontwerpen van sjablonen_x000D_
opslag van content (zoals afbeeldilngen, teksten)_x000D_
plaatsen van content_x000D_
beheren van autorisaties_x000D_
zoekmodule_x000D_
analyse paginagebruik_x000D_
_x000D_
Bijvoorbeeld:_x000D_
Wordpress_x000D_
Joomla_x000D_
_x000D_
Opmerking:_x000D_
Focus ligt niet op werking en inrichting van de webserver software en hardware. Zie hiervoor Webserverbehher</t>
  </si>
  <si>
    <t>Corporate LMS</t>
  </si>
  <si>
    <t>Een systeem dat de logistieke en administratieve processen rondom het aanbieden van onderwijs aan medewerkers ondersteunt._x000D_
_x000D_
Zoals:_x000D_
Het beheren en aanbieden van cursussen (catalogus)_x000D_
Ondersteunen inschrijving_x000D_
Registratie van behaalde resultaten</t>
  </si>
  <si>
    <t>CIS, Leermanagementsysteem, Learning Management System</t>
  </si>
  <si>
    <t>CourseOffering</t>
  </si>
  <si>
    <t>https://openonderwijsapi.nl/specification/v5/docs.html#tag/course_offering_model</t>
  </si>
  <si>
    <t>CRM systeem</t>
  </si>
  <si>
    <t>Een systeem dat  relatiebeheer en de marketing ondersteunt._x000D_
_x000D_
Zoals:_x000D_
onderhouden relaties_x000D_
werving_x000D_
campagnebeheer_x000D_
evenementenbeheer_x000D_
_x000D_
Voorbeeld:_x000D_
Microsoft Dynamics CRM</t>
  </si>
  <si>
    <t>Curriculum ontwerptool</t>
  </si>
  <si>
    <t>Een systeem ter ondersteuning van het ontwerp- en planningsproces van het curriculum (de samenhangende structuur) van een opleiding. Dit omvat onder andere de opbouw in opleidingsonderdelen met hun onderlinge afhankelijkheden, logsche volgorde, relatie met leerdoelen, kerntaken en werkprocessen en de omvang in studiebelasting._x000D_
Daarnaast omvat dit ook het in de tijd plannen van het curriculum. Dit is een tijdplanning, hoe de opleidingsonderdelen ten opzichte van elkaar in onderwijsperiodes gepland kunnen worden zodat het qua belasting een studeerbaar en organiseerbaar geheel is.</t>
  </si>
  <si>
    <t>Database systeem</t>
  </si>
  <si>
    <t>Verzamelbegrip van databasemanagementsystemen._x000D_
_x000D_
Denk aan:_x000D_
SQLserver_x000D_
Oracle</t>
  </si>
  <si>
    <t>Datamanagement Systeem</t>
  </si>
  <si>
    <t>Een systeem voor het beheren van databanken_x000D_
_x000D_
Zoals:_x000D_
Creeeren en configureren_x000D_
Toegangsverlening_x000D_
Monitoring_x000D_
_x000D_
Bijvoorbeeld:_x000D_
MS SQL server_x000D_
Oracle_x000D_
MySQL</t>
  </si>
  <si>
    <t>Document Management Systeem (DMS)</t>
  </si>
  <si>
    <t>Een systeem dat het maken, beheren en archiveren van documenten ondersteunt._x000D_
_x000D_
Bijvoorbeeld:_x000D_
Corsa_x000D_
Microsoft</t>
  </si>
  <si>
    <t>Document waarmerking en onderteken systeem</t>
  </si>
  <si>
    <t>Een systeem ter ondersteuning van het waarmerken van documenten, zoals het zorgdragen voor een digitale handtekening._x000D_
_x000D_
bijvoorbeeld:_x000D_
Evado_x000D_
DocuSign</t>
  </si>
  <si>
    <t>E-mail systeem</t>
  </si>
  <si>
    <t>Een systeem dat het uitwisselen en beveiliging van e-mails tussen gebruikers ondersteunt._x000D_
_x000D_
Bijvoorbeeld:_x000D_
Exchange</t>
  </si>
  <si>
    <t>Educatieve software</t>
  </si>
  <si>
    <t>Verzamelbegrip van applicaties, ingezet voor of ontwikkeld met een educatief doel, dat studenten ondersteunt bij het uitvoeren van beroepsspecifieke leertaken._x000D_
_x000D_
Bijvoorbeeld: Autocad of Photoshop.</t>
  </si>
  <si>
    <t>Enquete systeem</t>
  </si>
  <si>
    <t>Een systeem dat het mogelijk maakt om enquetes te creëren, te verspreiden en af te nemen._x000D_
_x000D_
Bijvoorbeeld:_x000D_
Effectory_x000D_
SurveyMonkey_x000D_
ROCSpiegel</t>
  </si>
  <si>
    <t>Examen logistiek systeem</t>
  </si>
  <si>
    <t>Een systeem voor de examenvoorbereiding zoals het creeren van examengroepen, toekennen examenmateriaal, aanmaken examensets, toekennen afnameleider en surveillanten</t>
  </si>
  <si>
    <t>Toets, Assessment</t>
  </si>
  <si>
    <t>Person</t>
  </si>
  <si>
    <t>https://openonderwijsapi.nl/specification/v5/docs.html#tag/person_model</t>
  </si>
  <si>
    <t>Examendeelnemerregistratiesysteem</t>
  </si>
  <si>
    <t>Examenplanningsysteem</t>
  </si>
  <si>
    <t>Extern portaal</t>
  </si>
  <si>
    <t>Een webomgeving waarin informatie en diensten met derden worden gedeeld.</t>
  </si>
  <si>
    <t>Faciliteiten beheer systeem</t>
  </si>
  <si>
    <t>Een systeem voor het resgistreren en  beheren van facilitaire middelen zoals ruimten, lockers, meubilair, inventaris, , vierkante meters, inclusief het magazijnbeheer</t>
  </si>
  <si>
    <t>Financieel systeem</t>
  </si>
  <si>
    <t>Een systeem dat de financiële administratie ondersteunt._x000D_
_x000D_
Zoals:_x000D_
Debiteurenbeheer_x000D_
Crediteurenbeheer_x000D_
Grootboekbeheer_x000D_
Activabeheer_x000D_
_x000D_
Bijvoorbeeld:_x000D_
Exact</t>
  </si>
  <si>
    <t>Gebouw beheer systemen GBS</t>
  </si>
  <si>
    <t>Verzamelbegrip van systemen voor het beheren en onderhouden van gebouwen en gebouwvoorzieningen (zoals electriciteit, luchtbehandeling, noodstroominstallaties).</t>
  </si>
  <si>
    <t>Building</t>
  </si>
  <si>
    <t>https://openonderwijsapi.nl/specification/v5/docs.html#tag/building_model</t>
  </si>
  <si>
    <t>Gebouw beveiliging systeem</t>
  </si>
  <si>
    <t>Verzamelbegrip van systemen voor het beheer van gebouwbeveiligingsvoorzieningen (ook wel het RBS - Risico Beheer Systeem genoemd)._x000D_
_x000D_
Denk aan:_x000D_
gebouwtoegangsystemen (poortjes, slagbomen, zonering)_x000D_
parkeerruimte teller_x000D_
lift controle_x000D_
inbraakdetectiesystemen_x000D_
brandmelders_x000D_
deurmagneetcontacten_x000D_
intercominstallatie_x000D_
sprinklerinstallatie_x000D_
alarminstallatie_x000D_
centrale meldkamer systeem_x000D_
portofoon systeem_x000D_
EHBO registratie</t>
  </si>
  <si>
    <t>Identity en accessmanagement systeem (IAM)</t>
  </si>
  <si>
    <t>Verzamelbegrip van systemen die zorgdragen voor het:_x000D_
beheren van digitale identiteiten_x000D_
beheren autorisaties_x000D_
authenticeren van gebruikers_x000D_
faciliteren van het inlogproces_x000D_
_x000D_
Bijvoorbeeld:_x000D_
Ximex_x000D_
RedSpider_x000D_
AD(azure)_x000D_
ADFS_x000D_
Eduroam (extern/federatie)_x000D_
SurfConext (extern/federatie)_x000D_
Entree (extern/federatie)</t>
  </si>
  <si>
    <t>Informatie beveiliging systemen</t>
  </si>
  <si>
    <t>Verzamelbegrip van systemen voor het beheren van de informatiebeveiliging (cybersecurity) van de IT-infrastructuur._x000D_
_x000D_
Zoals of bijvoorbeeld:_x000D_
Intrusion Prevention (IPS)_x000D_
Intrusion Detection (IDS)_x000D_
Dmarcian, DKIM, _x000D_
Quarantainenet_x000D_
Surffilesender_x000D_
Zivver_x000D_
LastPass_x000D_
Endpoint security (SentinelOne, Clearpass)_x000D_
Firewall_x000D_
Malware preventie/detectie</t>
  </si>
  <si>
    <t>Inkoop systeem</t>
  </si>
  <si>
    <t>Een systeem dat het inkopen van producten, het beheren van leveranciergegevens en het beheren van contracten ondersteunt. _x000D_
_x000D_
Bijvoorbeeld:_x000D_
Proquro</t>
  </si>
  <si>
    <t>Intake systeem</t>
  </si>
  <si>
    <t>Een systeem voor het plannen, inschrijven, afhandelen, verslagleggen en beoordelen van de intake van studenten._x000D_
_x000D_
Dit zowel voor initiele aanmeldingen als voor tussentijdse loopbaanadviestrajecten</t>
  </si>
  <si>
    <t>Integratie systeem</t>
  </si>
  <si>
    <t>Een systeem dat zorgdraagt voor de  uitwisseling van gegevens tussen applicaties. Zoals identiteitsgegevens._x000D_
_x000D_
Bevat ondermeer:_x000D_
API's_x000D_
Business logica (input/output scripts)_x000D_
Databank_x000D_
Monitoring (performance en errors)_x000D_
_x000D_
Andere trefwoorden:_x000D_
ESB_x000D_
Broker</t>
  </si>
  <si>
    <t>Intern portaal (intranet)</t>
  </si>
  <si>
    <t>Een omgeving (bedrijfsportaal) waarin informatie en diensten met interne studenten en medewerkers wordt gedeeld.</t>
  </si>
  <si>
    <t>Kaartbeheer systeem</t>
  </si>
  <si>
    <t>Een systeem voor de productie van en het beheren van kaarten zoals de instellingspas voor studenten en medewerkers_x000D_
_x000D_
Wordt toegepast voor bijv.:_x000D_
fysieke toegangsverlening _x000D_
digitale toegangsverlening_x000D_
identificatie_x000D_
betalingen (printopdrachten)_x000D_
_x000D_
Bijvoorbeeld:_x000D_
OmniCms</t>
  </si>
  <si>
    <t>Kantoor automatisering systeem</t>
  </si>
  <si>
    <t>Verzamelbegrip van systemen voor het maken presentaties, documenten en spreadsheets e.d._x000D_
_x000D_
Bijvoorbeeld:_x000D_
MS Office suite (word, excel enz...)</t>
  </si>
  <si>
    <t>Kernregistratie systeem studenten (KRS)</t>
  </si>
  <si>
    <t xml:space="preserve">Een systeem voor het beheren van gegevens van studenten zoals in- en uitschrijvingsgegevens, BPV-contractgegevens, bekostigingsgegevens, studieresultaten, diploma's, studentbegeleidingsgegevens, studievoortganggegevens_x000D_
_x000D_
Bijvoorbeeld:_x000D_
Eduarte_x000D_
Osiris_x000D_
Magister_x000D_
TP_x000D_
Ellucian (Sungard/SCT) Banner Student_x000D_
Oracle Peopelsoft Campus Solutions_x000D_
_x000D_
</t>
  </si>
  <si>
    <t>Leerling, Cursist, Trainee</t>
  </si>
  <si>
    <t>Koppelpunt MBO</t>
  </si>
  <si>
    <t>Onderdeel van de Voorziening Vroegtijdig Aanmelden mbo (VVA), een ict-voorziening waarmee vo- en vso-scholen veilig en digitaal aanmeldinformatie van potentiële mbo-leerlingen uitwisselen. Deze gegevensverstrekking is een wettelijke verplichting sinds 1 september 2020, vastgelegd in de Regeling gegevensverstrekking bij overstap naar het mbo. In afstemming met de onderwijsraden is deze dienst eind september 2022 door Kennisnet beëindigd. Scholen zullen gebruik maken van regionale faciliteiten of de gegevensverstrekking op een andere manier gaan regelen. De wettelijke verplichting blijft bestaan. _x000D_
_x000D_
De vmbo-, pro-, vavo- en vso-scholen moeten tussen 1 oktober en 1 februari een beperkte set gegevens aanleveren bij de gemeente over leerlingen die naar verwachting overstappen naar het mbo. De mbo-instellingen leveren vervolgens gegevens aan de scholen over de jongeren die zich bij hen hebben aangemeld. Gemeenten ontvangen een signaal als het aanmeldproces van een jongere stagneert. Het VVA-systeem bestaat uit drie koppelpunten die elk zorgen voor de benodigde informatie-uitwisseling, namelijk het vo-koppelpunt voor administraties van vo-scholen, het mbo-koppelpunt voor administraties van mbo-scholen, het gemeente-koppelpunt voor gemeentelijke administraties._x000D_
_x000D_
Het mbo koppelpunt blijft, tot nader order, gewoon functioneren. Deze doet namelijk ook meer dan alleen VVA berichten. Het zorgt ook voor het statusoverzicht van een CAMBO aanmelding en het inzicht in meervoudig aanmelden.</t>
  </si>
  <si>
    <t>Kwaliteit management systeem</t>
  </si>
  <si>
    <t xml:space="preserve">Een systeem dat risico- en kwaliteitsmanagement ondersteunt. </t>
  </si>
  <si>
    <t>Learning analytics systeem</t>
  </si>
  <si>
    <t>Een geheel van systemen waarin leeractiviteiten van studenten (LTI - Learning Track Information) worden opgeslagen (LRS - Learning Record Store), geanalyseerd en gepresenteerd._x000D_
_x000D_
Toelichting:_x000D_
Er is een overlap met data analytics,  echter in dit geval zijn het systemen toegespitst op het leerproces van studenten. Praktisch en in de markt zijn dit verschillende systemen.</t>
  </si>
  <si>
    <t>Leer content management systeem (LCMS)</t>
  </si>
  <si>
    <t>Systeem ten behoeve van het maken en beheren van leermateriaal.</t>
  </si>
  <si>
    <t>Leer management systeem (LMS)</t>
  </si>
  <si>
    <t>Systeem ten behoeve van het aanbieden en gebruiken van leermateriaal, de ondersteuning van het leerproces en de interactie tussen student en docent.</t>
  </si>
  <si>
    <t>Leermiddelen lijst beheer systeem</t>
  </si>
  <si>
    <t xml:space="preserve">Een systeem dat ondersteunt bij het opmaken en vaststellen van de leermiddelenlijsten met de voor de studenten benodigde boeken, licenties en andere leermiddelen voor een opleiding. _x000D_
</t>
  </si>
  <si>
    <t xml:space="preserve">Leermiddelen lijst verstrekking systeem </t>
  </si>
  <si>
    <t>Een systeem dat ondersteunt bij_x000D_
*  het aanbieden van leermiddelen door de instelling en door derden  _x000D_
*  het bestellen en betalen van leermiddelen door studenten (betaling gedeelte voorzien door de 'betalingen' applicatiedienst)_x000D_
*  het verkrijgen van licenties/vouchers_x000D_
_x000D_
Opmerking:_x000D_
ROSA noemt de bestelomgeving een aparte component: https://www.wikixl.nl/wiki/rosa/index.php?title=DisplayArchiMateElements&amp;elementtype=ApplicationComponent&amp;model=Id-316838d5-7351-46de-9071-f4ba8175825c_x000D_
_x000D_
Opmerking:_x000D_
Dit valt ook onder het programma-doorpakken-op-digitalisering. _x000D_
Zie https://www.sambo-ict.nl/programmas/programma-doorpakken-op-digitalisering/leermiddelen/   _x000D_
_x000D_
Opmerking:_x000D_
Zie ook het koppelpunt catalogusinformatie. _x000D_
Zie https://www.kennisnet.nl/diensten/koppelpunt-catalogusinformatie/ _x000D_
_x000D_
Opmerking:_x000D_
In het PvE van de nieuwe catalogus lijkt het een ROC overstijgend platform te worden. Hoe geven we dat aan..? (kleurtje, labeltje..?)_x000D_
Zie https://www.sambo-ict.nl/wp-content/uploads/2020/08/20200822-Concept-PvE-leermiddelen-MBO-v0.9.pdf   blz 21 e.v.</t>
  </si>
  <si>
    <t>Marketing Management</t>
  </si>
  <si>
    <t>De marketing automation suite ter ondersteuning van marketing processen zoals studenten werving, imago beheer naar de commerciele/ publieke sector en Public Relations (PR)</t>
  </si>
  <si>
    <t>Mediatheek beheer systeem</t>
  </si>
  <si>
    <t>Een systeem dat het beheren &amp; werven van collecties bestaande uit materialen ondersteunt (denka aan boeken, tijdschriften, artikelen, multimedia). Daarnaast voorziet het systeem ook in een centrale repository en het aanbieden, reserveren en uitlenen van materialen._x000D_
_x000D_
Bijvoorbeeld:_x000D_
Aura</t>
  </si>
  <si>
    <t>Middelen planning</t>
  </si>
  <si>
    <t xml:space="preserve">Een systeem voor het plannen van benodigde middelen voor een opleiding; zoals middelen en ruimten._x000D_
_x000D_
Dit omvat zowel de tactische meerjaarplanning als de meer operationele jaarplanning </t>
  </si>
  <si>
    <t>Mobile Device Management (MDM)</t>
  </si>
  <si>
    <t>Een systeem ter ondersteuning van het beheer van mobiele apparaten (smartphones, tablets e.d.)_x000D_
_x000D_
Bijvoorbeeld:_x000D_
SOTI MobiControl_x000D_
Microsoft Intune</t>
  </si>
  <si>
    <t>Monitoring en logging systemen</t>
  </si>
  <si>
    <t>Verzamelbegrip van systemen die zaken zoals:_x000D_
de juiste werking, _x000D_
de beschikbaarheid, _x000D_
de veiligheid, _x000D_
de capaciteit_x000D_
het gebruik en _x000D_
de performance van IT systemen monitort en signaleert._x000D_
_x000D_
Bijvoorbeeld:_x000D_
SCOM_x000D_
PRTG_x000D_
Nessus_x000D_
PIM+_x000D_
LogPoint_x000D_
IMC</t>
  </si>
  <si>
    <t>Narrow casting systeem</t>
  </si>
  <si>
    <t>Een systeem voor het 1-richting communiceren van informatie via audio-visuele apparatuur binnen de instelling zoals publicatieschermen in het restaurant, het openleercentrum, een aula enz..._x000D_
_x000D_
bijvoorbeeld:_x000D_
Evado</t>
  </si>
  <si>
    <t>Netwerk beheer systeem</t>
  </si>
  <si>
    <t>Verzamelbegrip voor systemen met behulp waarvan het netwerk wordt beheerd._x000D_
_x000D_
Zoals:_x000D_
het LAN_x000D_
het wireless netwerk_x000D_
load balancing_x000D_
access control lists_x000D_
internetverbindingen_x000D_
huurlijnen_x000D_
enz..._x000D_
_x000D_
Bijvoorbeeld:_x000D_
Aruba_x000D_
SDN van HP_x000D_
KEMP_x000D_
Panorama</t>
  </si>
  <si>
    <t>Ondersteuning leerbeperking</t>
  </si>
  <si>
    <t>Verzamelbegrip voor systemen die het leren door studenten met een leerbeperking ondersteunen. Voorbeelden zijn dyscalculie en dyslexie._x000D_
_x000D_
Opmerking: _x000D_
FORA noemt dit Onderwijs-Op-Maat Applicaties</t>
  </si>
  <si>
    <t>Onderwijscatalogus</t>
  </si>
  <si>
    <t>Een systeem voor het beheren en publiceren van het onderwijsaanbod, zoals dat is opgebouwd uit de onderwijsprogramma's, opleidingsonderdelen en leeractiviteiten en alle metadata die daarbij relevant is. Deze metadata omvat bijvoorbeeld de leerdoelen, kerntaken, werkprocessen, studiebelastingsuren etc.
Het onderwijsaanbod omvat ook per onderwijsprogramma de bijbehorende standaard leerroutes en eventuele keuzemogelijkheden.
De publicatie van het onderwijsaanbod kan in verschillende vormen plaatsvinden, bijvoorbeeld in de vorm van een Onderwijs en Examenreglement (OER) of een studiegids.</t>
  </si>
  <si>
    <t>Opleidingscatalogus, Programmacatalogus</t>
  </si>
  <si>
    <t>Course; EducationSpecification; Program</t>
  </si>
  <si>
    <t>https://openonderwijsapi.nl/specification/v5/docs.html#tag/course_model; https://openonderwijsapi.nl/specification/v5/docs.html#tag/education_specification_model; https://openonderwijsapi.nl/specification/v5/docs.html#tag/program_model</t>
  </si>
  <si>
    <t>Onderzoek beheer systeem</t>
  </si>
  <si>
    <t>Een systeem voor het beheer van onderzoeksresultaten zoals van een practoraat.</t>
  </si>
  <si>
    <t>Personeel systeem</t>
  </si>
  <si>
    <t>Een systeem dat de personeelsadministratie ondersteunt _x000D_
_x000D_
Zoals beheren van:_x000D_
arbeidscontracten_x000D_
arbeidsvoorwaarden_x000D_
formatiegegevens_x000D_
personeelsontwikkelinggegevens_x000D_
declaraties_x000D_
personeelsdossiers_x000D_
arbogegevens_x000D_
werving en selectie (vacatures/sollicitaties)_x000D_
enz..._x000D_
_x000D_
Bijvoorbeeld:_x000D_
Youforce</t>
  </si>
  <si>
    <t>Plagiaat detectie systeem</t>
  </si>
  <si>
    <t>Een systeem dat (automatisch) controleert op het plegen van plagiaat.</t>
  </si>
  <si>
    <t>Plan van inzet systeem</t>
  </si>
  <si>
    <t>Systeem ter ondersteuning van het maken van een (jaar)plan van inzet voor de leden van een onderwijsteam. Zoals het bepalen van het aantal uren lesgeven, innovatie, contentontwikkeling enz.. voor de komende periode zoals bijv. een schooljaar.</t>
  </si>
  <si>
    <t>Planning- en roostersysteem</t>
  </si>
  <si>
    <t>Een systeem dat het maken van roosters ondersteunt op basis van beschikbaarheid van mensen en middelen en de leerroutes van de studenten.
Bijvoorbeeld:
GPUntis
Xedule</t>
  </si>
  <si>
    <t>Portfolio systeem</t>
  </si>
  <si>
    <t>Een systeem waar de student zijn loopbaan, leerervaringen, competenties en leerresultaten kan bijhouden._x000D_
_x000D_
Denk aan gemaakte opdrachten, voltooide cursussen, edubadges._x000D_
_x000D_
Opmerking:_x000D_
Zie ook het begrip Persoonlijke digitale ruimte: Een veel breder begrip gehanteerd door de ROSA https://www.wikixl.nl/wiki/rosa/index.php/Id-5d5a3027-5f59-489c-bcd4-f255bcec922a_x000D_
_x000D_
Opmerking:_x000D_
Zie ook het initiatief EduMij: https://www.edustandaard.nl/app/uploads/2020/02/Edumij-standaardisatieraad-13-2-2020-Richard-Sterenborg.pdf_x000D_
_x000D_
Opmerking:_x000D_
Hier speelt de strategische agenda een rol. Dit wordt mogelijk een een aparte component van de student en niet van de instelling</t>
  </si>
  <si>
    <t>Print en kopieer systeem</t>
  </si>
  <si>
    <t>Verzamelbegrip van systemen voor het beheren van print- en kopieerapparatuur en -diensten zoals die van de huisdrukkerij en de multifunctionals (netwerkprinters)_x000D_
_x000D_
Bijvoorbeeld:_x000D_
Prisma suite_x000D_
PcounterPro</t>
  </si>
  <si>
    <t>Proctoring systeem</t>
  </si>
  <si>
    <t>Een systeem voor het digitaal toezicht houden op het afnemen van toesten en examens._x000D_
_x000D_
Zoals:_x000D_
Het testen van het veilig zijn van de afnameomgeving_x000D_
Het surveilleren cq monitoren van de afname van het examen</t>
  </si>
  <si>
    <t>Project en programma management</t>
  </si>
  <si>
    <t>Een systeem dat helpt bij het bepalen en sturen van projecten, programma's en portfolio's.</t>
  </si>
  <si>
    <t>Program</t>
  </si>
  <si>
    <t>https://openonderwijsapi.nl/specification/v5/docs.html#tag/program_model</t>
  </si>
  <si>
    <t>Register Instellingen en Opleidingen (RIO)</t>
  </si>
  <si>
    <t>Register waarin de basisgegevens van zowel de onderwijsinrichting van onderwijsinstellingen is vastgelegd (organisatiestructuur, onderewijslocaties, onderwijsaanbod) als van de onderwijserkenning (erkenningen, licenties). Beide sets van basisgegevens zijn aan elkaar gerelateerd.</t>
  </si>
  <si>
    <t>Organization; Program</t>
  </si>
  <si>
    <t>https://openonderwijsapi.nl/specification/v5/docs.html#tag/organization_model; https://openonderwijsapi.nl/specification/v5/docs.html#tag/program_model</t>
  </si>
  <si>
    <t>Register Onderwijsdeelnemers (ROD)</t>
  </si>
  <si>
    <t>Register waarin basisgegevens, vrijstellingsgegevens,verzuimgegevens, diplomagegevens en persoonsgebonden nummers van onderwijsdeelnemers zijn opgenomen. De basisgegevens omvatten, naast de identificerende gegevens, gegevens met betrekking tot: a. de onderwijsinstelling waar de onderwijsdeelnemer is of was ingeschreven; b. de datum van in- en uitschrijving bij de desbetreffende onderwijsinstelling. _x000D_
_x000D_
Sinds 2021 valt een aantal registers bij DUO (waaronder BRON) onder 1 register, het Register Onderwijsdeelnemers (ROD).</t>
  </si>
  <si>
    <t>Salarisverwerking systeem</t>
  </si>
  <si>
    <t>Samenwerken en delen systeem</t>
  </si>
  <si>
    <t>Verzamelbegrip van systemen waarmee leerlingen, medewerkers, externen documenten delen, hier (tegelijkertijd) aan werken, chatten, informatie uitdelen, vergaderen e.d._x000D_
_x000D_
Bijvoorbeeld:. _x000D_
Teams_x000D_
Sharepoint_x000D_
OneDrive_x000D_
Kaizala_x000D_
iBabs</t>
  </si>
  <si>
    <t>Serverbeheer systeem</t>
  </si>
  <si>
    <t>Verzamelbegrip van systemen die het beheer van de servers, PC's en de daarop draaiende software ondersteunt_x000D_
_x000D_
Denk aan_x000D_
Besturingsystemen Windows en Windows NT_x000D_
Software distributie en deployment, _x000D_
Patch management_x000D_
Remote control_x000D_
Beheer virtuele servers_x000D_
Configuratiebeheer_x000D_
_x000D_
Voorbeeld:_x000D_
Microsoft SCCM _x000D_
Windows Distribution Server (WDS)_x000D_
MS endpoint manager_x000D_
Scense_x000D_
VMware_x000D_
MS management console</t>
  </si>
  <si>
    <t xml:space="preserve">Service management systeem </t>
  </si>
  <si>
    <t>Een systeem voor onder andere het afhandelen van incidenten en wijzigingen en het configuratiebeheer _x000D_
_x000D_
Bijvoorbeeld:_x000D_
Topdesk</t>
  </si>
  <si>
    <t>Service</t>
  </si>
  <si>
    <t>https://openonderwijsapi.nl/specification/v5/docs.html#tag/service_model</t>
  </si>
  <si>
    <t>Software ontwikkel systeem</t>
  </si>
  <si>
    <t>Verzamelbegrip van systemen die ondersteuning bieden aan het ontwikkelen van software._x000D_
_x000D_
Denk aan:_x000D_
bepalen requirements_x000D_
programmeren_x000D_
versiebeheer_x000D_
kwaliteitsborging, acceptatie_x000D_
uitrollen_x000D_
_x000D_
Bijvoorbeeld:_x000D_
Jira_x000D_
PHPStorm_x000D_
Azure DevOps platform_x000D_
MS Visual Studio_x000D_
VersionControl_x000D_
TeamCity</t>
  </si>
  <si>
    <t>Storage systeem</t>
  </si>
  <si>
    <t>Verzamelbegrip van de centrale storage-systemen in het netwerk zoals een SAN, NAS, Datawarehouse of datalake._x000D_
_x000D_
Bijvoorbeeld:_x000D_
EMC_x000D_
HP_x000D_
Dell</t>
  </si>
  <si>
    <t>Student begeleiding systeem</t>
  </si>
  <si>
    <t>Een systeem voor het ondersteunen van het studentbegeleidingsproces  (1e, 2e lijns). Dit is exclusief 3e lijns zorg (zie het Zorgsysteem)</t>
  </si>
  <si>
    <t>Student communicatie systeem</t>
  </si>
  <si>
    <t>Een systeem waarin alle voor een student relevante informatie integraal aan een student beschikbaar wordt gesteld ter inzage. Dit systeem geeft bijvoorbeeld inzicht in; _x000D_
• Registratiegegevens_x000D_
• Studievoortgang_x000D_
• Resultaten_x000D_
• Aanwezigheidsregistraties_x000D_
• Rooster_x000D_
• Instellingsnieuws_x000D_
• Formele documenten (Inschrijving, BPV-overeenkomst)_x000D_
• Aanbiedingen_x000D_
• etc._x000D_
Dit systeem voorziet tevens in een docent weergave van een student. De docent ziet hier enkel voor hem relevante studenten en informatie en waar hij toestemming toe heeft._x000D_
Een dergelijk systeem kent als verschijningsvormen; een intern portaal (intranet) of app (studentenapp)._x000D_
_x000D_
Vergelijk Fora DLWO: https://www.wikixl.nl/wiki/fora/index.php/FORA/id-aa6d4ac4-b15e-4e34-af72-88903868970f</t>
  </si>
  <si>
    <t>Student volg systeem (SVS)</t>
  </si>
  <si>
    <t>Een systeem voor het registreren en meten van de studievoortgang en resultaten van een student.</t>
  </si>
  <si>
    <t>Tijdregistratie systeem</t>
  </si>
  <si>
    <t>Toets en examen inlever &amp; beoordeling systeem</t>
  </si>
  <si>
    <t>Een systeem dat het automatisch nakijken toetsen van examens en toetsen ondersteunt.</t>
  </si>
  <si>
    <t>Examen, Assessment, Test</t>
  </si>
  <si>
    <t>Toets- en examen (materiaal) beheer systeem</t>
  </si>
  <si>
    <t>Een systeem voor het beheren van toets- en examenmateriaal, inclusief de bepaling welke en hoeveel toets- &amp; examenmateriaal nodig is._x000D_
_x000D_
Denk aan:_x000D_
* Veilig opslaan_x000D_
* Zorgvuldige autorisatie_x000D_
* Gedegen workflow voor goedkeuring door vakspecialisten of examencommissie_x000D_
* Registratie van welk examenmateriaal door welke leerlingen al is gebruikt</t>
  </si>
  <si>
    <t>Toets- en examen afname systeem</t>
  </si>
  <si>
    <t>Systeem voor het afnemen van toetsen en examens, denk  aan een veilige afnameomgeving (BLDC - bootable lock down client)_x000D_
_x000D_
Bijvoorbeeld:_x000D_
* Safetyboot_x000D_
* Facet_x000D_
* QMP</t>
  </si>
  <si>
    <t>Toets- en examenplanning- en inschrijfsysteem</t>
  </si>
  <si>
    <t>Systeem voor het inplannen van toetsen en examens, publiceren van de planning, inschrijven door studenten.</t>
  </si>
  <si>
    <t>Unified Communications systeem</t>
  </si>
  <si>
    <t>Een systeem dat het communiceren tussen mensen via verschillende kanalen zoals telefoon en chatomgeving ondersteunt._x000D_
_x000D_
Voorbeelden:_x000D_
Skype_x000D_
Anywhere365 (voor callcenter, recepties)_x000D_
_x000D_
Opmerking:_x000D_
Deze systemen integreren steeds meer met kantoorautomatiseing en collaborationtoepassingen zoals Teams, Zoom en Sharepoint.</t>
  </si>
  <si>
    <t>Voorziening Centraal Aanmelden (CAMBO)</t>
  </si>
  <si>
    <t xml:space="preserve">Een landelijk digitaal portaal voor het mbo waar een aspirant-student zich voor een opleiding kan aanmelden. Het is een generieke voorziening, dus niet instellingsspecifiek. Afkorting CAMBO </t>
  </si>
  <si>
    <t>Werkplek beheer systeem</t>
  </si>
  <si>
    <t>Verzamelbegrip voor systemen met behulp waarvan werkplekken worden beheerd. _x000D_
_x000D_
Denk aan:_x000D_
Applicatiedistributie_x000D_
Policies instellen_x000D_
Imagebeheer_x000D_
Beheer op afstand_x000D_
Updates en patches_x000D_
Aan- uitzetten op afstand_x000D_
_x000D_
Bijvoorbeeld:_x000D_
Scense_x000D_
MS Software center_x000D_
Symantic client management suite</t>
  </si>
  <si>
    <t>Workflow systeem</t>
  </si>
  <si>
    <t xml:space="preserve">Het workflowsysteem initieert op basis van de start van een bedrijfsproces dat gerelateerde taken en of informatie naar betrokkenen en of actiehouders worden gestuurd. Na ontvangst of afronding van een taak of bezorging van informatie wordt automatisch een volgende taak geactiveerd totdat het einde van het proces is bereikt._x000D_
Het systeem geeft inzicht in de actuele status van een proces en of signaleert op basis van vooringestelde tijdslimieten aan 1 of meer betrokkenen dat actie vereist is of dat het proces niet conform planning verloopt._x000D_
</t>
  </si>
  <si>
    <t>Zoek systeem</t>
  </si>
  <si>
    <t>Een systeem waarmee zowel gestuctureerde als ongestructureerde gegevens uit meerdere systemen worden geïndexeerd en doorzoekbaar gemaakt.</t>
  </si>
  <si>
    <t>Zorg systeem</t>
  </si>
  <si>
    <t>Een systeem voor het ondersteunen van het studentzorgproces zoals verleend door in-- of externe psychologen of sociaal-emotionele zorgverleners.</t>
  </si>
  <si>
    <t>Deelnemerregistratie</t>
  </si>
  <si>
    <t>ApplicationFunction</t>
  </si>
  <si>
    <t>Examen beoordelen</t>
  </si>
  <si>
    <t>Examen Catalogus Beheren</t>
  </si>
  <si>
    <t>Course; EducationSpecification; Person; Program</t>
  </si>
  <si>
    <t>https://openonderwijsapi.nl/specification/v5/docs.html#tag/course_model; https://openonderwijsapi.nl/specification/v5/docs.html#tag/education_specification_model; https://openonderwijsapi.nl/specification/v5/docs.html#tag/person_model; https://openonderwijsapi.nl/specification/v5/docs.html#tag/program_model</t>
  </si>
  <si>
    <t>Formatief resultaat beheren</t>
  </si>
  <si>
    <t>Cijfer, Beoordeling, Result</t>
  </si>
  <si>
    <t>Summatief resultaat beheren</t>
  </si>
  <si>
    <t>Toetsafname</t>
  </si>
  <si>
    <t>Toetslogistiek beheren</t>
  </si>
  <si>
    <t>Toetsplanning beheren</t>
  </si>
  <si>
    <t>Toetsresultaat analyseren</t>
  </si>
  <si>
    <t>NetwerkExamineringDigitalisering</t>
  </si>
  <si>
    <t>ApplicationInterface</t>
  </si>
  <si>
    <t>Open Education API v6</t>
  </si>
  <si>
    <t>SVS GUI</t>
  </si>
  <si>
    <t>Aan- en afwezigheid registratie</t>
  </si>
  <si>
    <t>ApplicationService</t>
  </si>
  <si>
    <t>Het registreren van aan- en afwezigheidsmeldingen inclusief opgegeven reden.</t>
  </si>
  <si>
    <t>Aanbestedingen dienst</t>
  </si>
  <si>
    <t>Het ondersteunen van de uitvoering van aanbestedingen</t>
  </si>
  <si>
    <t>Aanmelding rooster activiteit</t>
  </si>
  <si>
    <t>Het aanmelden/inschrijven door de student voor ingeroosterde eenheid zoals een les, toets of een evenement</t>
  </si>
  <si>
    <t>Activa beheer</t>
  </si>
  <si>
    <t>Het beheren van activa , onder andere de afschrijving &amp; ammortization_x000D_
_x000D_
* Vlottende activa_x000D_
* Investeringen_x000D_
* Facaliteiten, gebouwen en uitrusting (onroerend goed)_x000D_
* Vaste activa</t>
  </si>
  <si>
    <t>Alumni diensten</t>
  </si>
  <si>
    <t>Het onderhouden van het contact met oud-studenten</t>
  </si>
  <si>
    <t>Analysering toets resultaat</t>
  </si>
  <si>
    <t>Analyse op afgenomen toetsen met betrekking tot kwaliteit, studentbeeld, mogelijke fraude, opleiding resultaten, toets inhoud, verhouding tot voorgaande jaren etc.</t>
  </si>
  <si>
    <t>Architectuur beheer</t>
  </si>
  <si>
    <t>Het beheren van de architectuurbeschrijvingen, principes, standaardprofielen en technisch referentiemodel</t>
  </si>
  <si>
    <t>Archivering</t>
  </si>
  <si>
    <t>Het archiveren van informatie, bijvoorbeeld documenten.</t>
  </si>
  <si>
    <t>Authenticatie (middelen) beheer</t>
  </si>
  <si>
    <t>Het beheer van middelen waarmee identiteiten zich kunnen identificeren._x000D_
Denk aan: _x000D_
* Iets wat men weet, bijvoorbeeld een wachtwoord_x000D_
* Iets wat men heeft, bijvoorbeeld de Microsoft Authenticator app op een telefoon of RSA key gen_x000D_
* Iets wat men is, bijvoorbeeld biometrische authenticatie_x000D_
* Iets waar men is, bijvoorbeeld een PC in een gesloten ruimte_x000D_
_x000D_
_x000D_
zie ook de NORA- https://www.noraonline.nl/wiki/Bestand:IAM_afbeedling.png</t>
  </si>
  <si>
    <t>Autorisatie beheer</t>
  </si>
  <si>
    <t>Het administreren van rollen en toegangsrechten in systemen. Denk aan autorisatiematrixen en registraties dienaangaande vanwege de AVG.</t>
  </si>
  <si>
    <t>Backup dienst</t>
  </si>
  <si>
    <t>Het maken, beveiligen en beheren van backups.</t>
  </si>
  <si>
    <t>Begroting beheer</t>
  </si>
  <si>
    <t>Het beheren van de begroting</t>
  </si>
  <si>
    <t>Beheer formatief resultaat</t>
  </si>
  <si>
    <t>Beheer kwaliteits indicatoren</t>
  </si>
  <si>
    <t>Het registreren van kpi s, het vastleggen van gegevens m.b.t. deze kpi's, het rapporteren over de voortgang op de verschillende kwaliteitsgebieden:_x000D_
_x000D_
* Onderwijsproces_x000D_
* Examinering &amp; diplomering_x000D_
* Schoolklimaat_x000D_
* Onderwijsresultaten_x000D_
* Kwaliteitszorg en ambitie_x000D_
* Financieel Beheer</t>
  </si>
  <si>
    <t>Beheren nieuwsitems</t>
  </si>
  <si>
    <t>Het vervaardigen van nieuwsitems (intern of extern). Het vervaardigen gaat uit van verschillende betrokkenen die een rol spelen in de tot standkoming gebaseerd op een redactie.</t>
  </si>
  <si>
    <t>NewsItem</t>
  </si>
  <si>
    <t>https://openonderwijsapi.nl/specification/v5/docs.html#tag/news_item_model</t>
  </si>
  <si>
    <t>Betalingen</t>
  </si>
  <si>
    <t>Het mogelijk maken van het doen van of ontvangen van betalingen (pinnen e.d.)</t>
  </si>
  <si>
    <t>BPV aanbod beheer</t>
  </si>
  <si>
    <t xml:space="preserve">Het beheren van gegevens van BPV-bedrijven en BPV-plaatsen._x000D_
_x000D_
Denk aan:_x000D_
* Gegevens over het bedrijf (adres, accreditatie e.d.))_x000D_
* Gegevens over de BPV-plaatsen (inhoud, nivo, wijze solliciteren e.d.)_x000D_
* Beschikbare plaatsen_x000D_
_x000D_
_x000D_
</t>
  </si>
  <si>
    <t>ComponentOffering; CourseOffering; ProgramOffering</t>
  </si>
  <si>
    <t>https://openonderwijsapi.nl/specification/v5/docs.html#tag/component_offering_model; https://openonderwijsapi.nl/specification/v5/docs.html#tag/course_offering_model; https://openonderwijsapi.nl/specification/v5/docs.html#tag/program_offering_model</t>
  </si>
  <si>
    <t xml:space="preserve">BPV begeleiding </t>
  </si>
  <si>
    <t>Het volgen en begeleiden van studenten ten tijde van hun BPV-traject</t>
  </si>
  <si>
    <t>BPV matching</t>
  </si>
  <si>
    <t>Het aanbieden van BPV-plaatsen en het ondersteunen van het keuze- en aanmeldproces</t>
  </si>
  <si>
    <t>BPV overeenkomst beheer</t>
  </si>
  <si>
    <t>Het beheren van contractgegevens tussen studenten en BPV-organisaties</t>
  </si>
  <si>
    <t>Buget beheer</t>
  </si>
  <si>
    <t>Het beheren van budgetten</t>
  </si>
  <si>
    <t>Campagne beheer</t>
  </si>
  <si>
    <t>Het beheren van campagnes gericht op het promoten van zaken als een product, dienst, kennis, mening, organisatie e.d._x000D_
_x000D_
Notitie_x000D_
Dat kan ook zijn beslag krijgen in het domein Verbinden met maatschappij thuis (marketing)</t>
  </si>
  <si>
    <t>Communicatie en samenwerking</t>
  </si>
  <si>
    <t>Ondersteuning van de communicatie en samenwerking in het kader van het leerproces, tussen docent en student, docenten en studenten onderling en met andere betrokkenen bij het leerproces zoals praktijkbegeleiders._x000D_
_x000D_
Denk hierbij aan:_x000D_
* het uitzetten van opdrachten_x000D_
* feedback geven_x000D_
* (eenvoudige) poll of quiz uitvoeren_x000D_
* afspraken maken_x000D_
* werken in groepen_x000D_
* gezamenlijk werken aan projecten</t>
  </si>
  <si>
    <t>Contact, Voorlichting</t>
  </si>
  <si>
    <t>Contract beheer</t>
  </si>
  <si>
    <t>Het beheren van contracten</t>
  </si>
  <si>
    <t>Corporate LMS-diensten</t>
  </si>
  <si>
    <t>Het beheren en aanbieden van opleidingen aan medewerkers</t>
  </si>
  <si>
    <t>CourseOffering; Service</t>
  </si>
  <si>
    <t>https://openonderwijsapi.nl/specification/v5/docs.html#tag/course_offering_model; https://openonderwijsapi.nl/specification/v5/docs.html#tag/service_model</t>
  </si>
  <si>
    <t>Crediteuren beheer</t>
  </si>
  <si>
    <t>Het beheren van crediteuren</t>
  </si>
  <si>
    <t>Curriculum ontwerp</t>
  </si>
  <si>
    <t xml:space="preserve">Het ondersteunen van het ontwerpproces van het curriculum (de samenhangende structuur) van een opleiding. Dit omvat onder andere de opbouw in opleidingsonderdelen met hun onderlinge afhankelijkheden, logsche volgorde, relatie met leerdoelen, kerntaken en werkprocessen en de omvang in studiebelasting._x000D_
</t>
  </si>
  <si>
    <t>Curriculum planning</t>
  </si>
  <si>
    <t>Het in de tijd plannen van het curriculum. Dit is een tijdplanning, hoe de opleidingsonderdelen ten opzichte van elkaar in onderwijsperiodes gepland kunnen worden zodat het qua belasting een studeerbaar en organiseerbaar geheel is.</t>
  </si>
  <si>
    <t>Database beheer</t>
  </si>
  <si>
    <t>Het beheren van databases en schema's</t>
  </si>
  <si>
    <t>Debiteuren beheer</t>
  </si>
  <si>
    <t>Het beheren van debiteuren</t>
  </si>
  <si>
    <t>Declaratie beheer</t>
  </si>
  <si>
    <t>Het ondersteunen van het verwerken van declaraties, zoals gewerkte uren (tijdsregistratie) of gemaakte kosten voor de zaak</t>
  </si>
  <si>
    <t>Document beheer</t>
  </si>
  <si>
    <t>Het beheren van documenten</t>
  </si>
  <si>
    <t>Document waarmerking en ondertekening</t>
  </si>
  <si>
    <t>Het digitaal waarmerken en/of ondertekenen van documenten</t>
  </si>
  <si>
    <t>Doorstroomdossier beheer</t>
  </si>
  <si>
    <t>Het beheren van alle informatie over een student met betrekking tot;_x000D_
- behaalde vooropleiding (VO) resultaten en bijzonderheden in relatie tot het verloop van de studieontwikkelingen van de student._x000D_
- behaalde opleiding resultaten (MBO) en bijzonderheden in relatie tot het verloop van de studieontwikkelingen van de student die relevant zijn voor doorstroom naar het HBO.</t>
  </si>
  <si>
    <t>Room</t>
  </si>
  <si>
    <t>https://openonderwijsapi.nl/specification/v5/docs.html#tag/room_model</t>
  </si>
  <si>
    <t>E-mail dienst</t>
  </si>
  <si>
    <t>Het bieden van e-mail diensten</t>
  </si>
  <si>
    <t>Enquete dienst</t>
  </si>
  <si>
    <t>Het ontwikkelen, testen, publiceren en afnemen van enquetes</t>
  </si>
  <si>
    <t>Evenementen beheer</t>
  </si>
  <si>
    <t>Het ondersteunen van evenmenten zoals opendagen, kennisdeling, feestelijkheden, ... inc. het beheer van gegevens</t>
  </si>
  <si>
    <t>Examen inschrijving beheer</t>
  </si>
  <si>
    <t>Examencatalogus aanleveren</t>
  </si>
  <si>
    <t>Examendeelname registreren</t>
  </si>
  <si>
    <t>Faciliteiten beheer</t>
  </si>
  <si>
    <t>Het beheren van faciliteiten</t>
  </si>
  <si>
    <t>Facturering</t>
  </si>
  <si>
    <t>Ondersteunt het factureren proces</t>
  </si>
  <si>
    <t>Financiele analyse en rapportage</t>
  </si>
  <si>
    <t>Het ondersteunen van de financiele analyse en reporting. _x000D_
_x000D_
Denk bij rapporten aan:_x000D_
* Jaarverslagen_x000D_
* (Trial)Balans_x000D_
* inkomen overzicht_x000D_
* kasstromen_x000D_
  * Kaseffecten_x000D_
  * Investeringsactiviteiten_x000D_
  * Financieringsactiviteiten_x000D_
  * Increase/decrease kas_x000D_
  * kasomvang_x000D_
* Owner's equity_x000D_
_x000D_
Denk bij analyse aan:_x000D_
* kostprijscalculatie_x000D_
* rendement_x000D_
* contante waardes_x000D_
*  horizontale analyses _x000D_
* Verticale analyses _x000D_
* Ratio's (contante waardes, current ratio, working captial, acid, turnover, debt to asset, ...)_x000D_
* Solvency_x000D_
* Liquidity_x000D_
* Profitability_x000D_
* What if scenario's m.b.v. kasstromen</t>
  </si>
  <si>
    <t>Financiële monitoring en auditing</t>
  </si>
  <si>
    <t>Het ondersteunen van de financiele monitoring &amp; audits</t>
  </si>
  <si>
    <t>Formatief resultaten beheer</t>
  </si>
  <si>
    <t>Het vastleggen van formatieve resultaten &amp; structuren</t>
  </si>
  <si>
    <t>Functioneel beheer</t>
  </si>
  <si>
    <t>Ondersteunt het functioneel beheer proces</t>
  </si>
  <si>
    <t>Gebouw beheer</t>
  </si>
  <si>
    <t>Het beheer en onderhouden van gebouwen en gebouwinstallaties (gas, licht, water, ventilatie e.d.?)</t>
  </si>
  <si>
    <t>Gebouw beveiliging</t>
  </si>
  <si>
    <t>Het beveiligen van gebouwen (alarminstallatie, sprinkler, brandmeldinstallatie, intercom enz..)</t>
  </si>
  <si>
    <t>Gegevens analyse</t>
  </si>
  <si>
    <t>Het analyseren van gegevens voor beslissingsondersteuning._x000D_
_x000D_
Denk aan:_x000D_
* Data science_x000D_
* Business Intelligence</t>
  </si>
  <si>
    <t>Gegevens presentatie</t>
  </si>
  <si>
    <t>Het presenteren van informatie in gestandardiseerde overzichten of dashboards voor beslissingsondersteuning en inzichten._x000D_
_x000D_
Denk aan:_x000D_
* Data science_x000D_
* Business Intelligence</t>
  </si>
  <si>
    <t>Gegevens verzameling</t>
  </si>
  <si>
    <t>Het verzamelen en registreren van gegevens voor beslissingsondersteuning en inzichten._x000D_
_x000D_
Denk aan:_x000D_
* Data science_x000D_
* Business Intelligence</t>
  </si>
  <si>
    <t>Groepen beheer</t>
  </si>
  <si>
    <t>Het bepalen en vastleggen van groepen waarin studenten gezamenlijk onderwijs volgen. _x000D_
_x000D_
_x000D_
Denk aan:_x000D_
* klassen_x000D_
* werkgroepen_x000D_
* ...</t>
  </si>
  <si>
    <t>Group</t>
  </si>
  <si>
    <t>https://openonderwijsapi.nl/specification/v5/docs.html#tag/group_model</t>
  </si>
  <si>
    <t>Grootboek beheer</t>
  </si>
  <si>
    <t>Het beheren van het grootboek_x000D_
_x000D_
* Het analyseren en registreren van transacties in het dagboek/journaal_x000D_
* Het posten van het dagboek/journaal in het grootboek_x000D_
* Het doen van aanpassingen_x000D_
* Opstellen van eventuele worksheet_x000D_
* Sluiten van de het grootboek</t>
  </si>
  <si>
    <t>Identity lifecycle management</t>
  </si>
  <si>
    <t>Het beheren van het aanmaken, wijzigen, deactiveren en verwijderen van accounts. Inclusief provisioning</t>
  </si>
  <si>
    <t>Incident registratie</t>
  </si>
  <si>
    <t>Het registreren van incidenten omtrent gedrag en houding</t>
  </si>
  <si>
    <t>Informatiebeveiligings dienst</t>
  </si>
  <si>
    <t>Het zorgdragen voor informatiebeveiliging, denk aan_x000D_
_x000D_
* preventie_x000D_
  * email-encryptie_x000D_
  * malware preventie_x000D_
  * IDS/IPS_x000D_
* Detectie_x000D_
  * SIEM_x000D_
* Reactie_x000D_
  * CERT_x000D_
  * Playbooks</t>
  </si>
  <si>
    <t>Inkoop dienst</t>
  </si>
  <si>
    <t>Het ondersteunen van het inkoopproces</t>
  </si>
  <si>
    <t>Inschrijvingen beheer</t>
  </si>
  <si>
    <t>Het administreren van inschrijvingen voor een opleiding, een keuzedeel, een examen, een herkansing._x000D_
_x000D_
Focus ligt op de administratieve verwerking en niet op de interactie met de (potentiële) student</t>
  </si>
  <si>
    <t>Intake dienst</t>
  </si>
  <si>
    <t>Het plannen, inschrijven, uitvoeren en beoordelen van intakegesprekken._x000D_
_x000D_
Zowel voor nieuwe inschrijvingen van studenten als voor loopbaanadviestrajecten.</t>
  </si>
  <si>
    <t>Integratie dienst</t>
  </si>
  <si>
    <t>Het uitwisselen van gegevens tussen bron- en doelsystemen_x000D_
_x000D_
De zogenoemde connecting services, orchestration en service bus._x000D_
_x000D_
* Enterprise Application Integration_x000D_
* Gateways_x000D_
* Message Broker _x000D_
* ESB</t>
  </si>
  <si>
    <t>Jaar planning</t>
  </si>
  <si>
    <t xml:space="preserve">Het bepalen van de jaarplanning waarin per opleiding gedetailleerd de behoefte en inzet van mensen, content, ruimten, leercontent e.d. wordt vastgelegd._x000D_
</t>
  </si>
  <si>
    <t>Kaart beheer</t>
  </si>
  <si>
    <t>Het produceren en beheren van kaarten zoals de instellingspas.</t>
  </si>
  <si>
    <t>Kantoor automatisering</t>
  </si>
  <si>
    <t>Het bieden van office functionaliteiten zoals word, excel, powerpoint</t>
  </si>
  <si>
    <t>Kasstromen en liquiditeit beheer</t>
  </si>
  <si>
    <t>Ondersteunt het beheer van de kasstromen en de  liquiditeit.</t>
  </si>
  <si>
    <t>Kwalificering</t>
  </si>
  <si>
    <t>Het ondersteunen van de peiling op kwalificatierecht en het doen toekomen van een kwalificerend document zoals een diploma of certificaat</t>
  </si>
  <si>
    <t>Kwaliteit beheer</t>
  </si>
  <si>
    <t>Het toezien op kwaliteitsmanagement in termen van registratie, verzameling en interpretatie op de verschillende kwaliteitsgebieden:_x000D_
_x000D_
* Onderwijsproces_x000D_
* Examinering &amp; diplomering_x000D_
* Schoolklimaat_x000D_
* Onderwijsresultaten_x000D_
* Kwaliteitszorg en ambitie_x000D_
* Financieel Beheer</t>
  </si>
  <si>
    <t>Learning analysis</t>
  </si>
  <si>
    <t>Het analyseren van geregistreerd leergedrag (learning track infromatie) zoals dat in in learning record store is opgeslagen en het presenteren van de bevindingen in dashboards</t>
  </si>
  <si>
    <t>Studenteninformatiesysteem, Student Information System</t>
  </si>
  <si>
    <t>Learning record storage</t>
  </si>
  <si>
    <t>Het verzamelen en opslaan van learning track information (LTI-records)</t>
  </si>
  <si>
    <t>Learning track information (LTI) dienst</t>
  </si>
  <si>
    <t>Het registreren  van het leergedrag ddat zich manifesteert in het genereren learning track information (LTI-records)._x000D_
_x000D_
Deze LTI-records worden verzonden naar en opgeslagen in een learning record store._x000D_
_x000D_
Opmerking: LTI informatie kan door een veelvoud van systemen die door studenten worden gebruiken, worden gegenereerd.</t>
  </si>
  <si>
    <t>Leerbeperking ondersteuning</t>
  </si>
  <si>
    <t>Het ondersteunen van het leren-met-een-leerbeperking zoals dyslexie</t>
  </si>
  <si>
    <t>Leercontent beheer</t>
  </si>
  <si>
    <t>Het ontwikkelen, importeren, bewerken, metadateren, laten goedkeuren, delen van lesmateriaal (content)</t>
  </si>
  <si>
    <t>Leercontent gebruik</t>
  </si>
  <si>
    <t>Het zoeken, raadplegen, downloaden van lesmateriaal door de student</t>
  </si>
  <si>
    <t>Leermiddelen lijst beheer</t>
  </si>
  <si>
    <t>Het samenstellen en goedkeuren van de leermiddelenlijst</t>
  </si>
  <si>
    <t>Leermiddelen lijst publicatie</t>
  </si>
  <si>
    <t>Het publiceren van het aanbod van leermiddelen door de instelling en door derden en het tonen van de  leermiddelenlijsten (catalogus, webshop)</t>
  </si>
  <si>
    <t>Leermiddelen verkoop</t>
  </si>
  <si>
    <t>Het afhandelen van het bestellen, betalen, het treffen van betalingsregelingen en verkrijgen van leermiddelen zoals boeken. licenties en vouchers</t>
  </si>
  <si>
    <t>Leertaak ondersteuning</t>
  </si>
  <si>
    <t>Ondersteuning bij het uitvoeren van beroepsspecifieke leertaken</t>
  </si>
  <si>
    <t>Leverancier beheer</t>
  </si>
  <si>
    <t>Het beheren van leveranciergegevens</t>
  </si>
  <si>
    <t>Master Information &amp; data management</t>
  </si>
  <si>
    <t xml:space="preserve">Ondersteunt het beheren van gegevens door het verwijderen van duplicaten, het standaardiseren van data (massa onderhoud), het vastleggen &amp; honoreren van regels (business rules) en het aanwijzen van een autoritieve databron._x000D_
_x000D_
Onderdelen die vaak binnen MIDM voorkomen zijn:_x000D_
* Bron identificatie_x000D_
* Data transformatie_x000D_
* Data normalisatie_x000D_
* Gegevensregels administratie (&amp; toepassen)_x000D_
* Fout of afwijking identificatie &amp; correctie_x000D_
* Data consolidatie_x000D_
* Data opslagbeheer_x000D_
* Data distributie_x000D_
* Data classificatie_x000D_
* Taxonomiebeheer_x000D_
* Schema mapping_x000D_
* Product codificatie_x000D_
* Data verrijking_x000D_
* Data hierarchiebeheer (autoritaire bronnen)_x000D_
* Business semantics management_x000D_
* Data governance_x000D_
</t>
  </si>
  <si>
    <t>Medewerker gegevens beheer</t>
  </si>
  <si>
    <t>Het beheren van medewerkergegevens zoals aanstellingsgegevens, contactgegevens, formele correspondentie e.d._x000D_
Dit omvat ook het vastleggen van beoordelingen en het bijwerken van het kennisniveau n.a.v. gevolgde opleidingen.</t>
  </si>
  <si>
    <t>Medewerker inzet beheer</t>
  </si>
  <si>
    <t xml:space="preserve">Ondersteunt het bepalen van de formatie en het plannen van inzet van medewerkers </t>
  </si>
  <si>
    <t>Mediatheek beheer</t>
  </si>
  <si>
    <t>Het presenteren en onderhouden van de mediatheek zoals de mediatheekcatalogus</t>
  </si>
  <si>
    <t>Mediatheek uitleen administratie</t>
  </si>
  <si>
    <t>Het ondersteunen van het uitlenen van materialen</t>
  </si>
  <si>
    <t>Meerjaren planning</t>
  </si>
  <si>
    <t>Ondersteunt het maken van tactische plannen over meerdere (&gt;2) jaren.</t>
  </si>
  <si>
    <t>Merk management</t>
  </si>
  <si>
    <t xml:space="preserve">Ondersteunt het managen van de instellingsimago personalisatie en branding, door middel van huisstijlen, sjablonen, emailhandtekeing, standaard teksten, disclaimers, in de communicatie_x000D_
Alle sjablonen, kleurschema's, logo's, icoontjes, afbeeldingen, marges, e.d. die het imago van de instelling vormgeven in diens communicatie._x000D_
_x000D_
Voorbeelden:_x000D_
* Email-handtekeningen_x000D_
* Website raamwerk_x000D_
* Huisstijl templates voor word._x000D_
* Zelf gedefineerde kleuren voor Microsoft Teams._x000D_
</t>
  </si>
  <si>
    <t>Middelen allocatie</t>
  </si>
  <si>
    <t xml:space="preserve">Het matchen van benodigde middelen versus de beschikbare middelen. _x000D_
_x000D_
Zoals:_x000D_
* apparatuur_x000D_
* leercontent_x000D_
* ruimte_x000D_
</t>
  </si>
  <si>
    <t>Mobiele apparatuur beheer</t>
  </si>
  <si>
    <t>Het beheren van mobiele apparatuur</t>
  </si>
  <si>
    <t>Monitoring en logging diensten</t>
  </si>
  <si>
    <t>Het monitoren van systemen en het verzamelen en beheren van loggegevens</t>
  </si>
  <si>
    <t>Narrowcasting</t>
  </si>
  <si>
    <t>Het beheren en publiceren van informatie via audiovisuele displays naar specifieke doelgroepen</t>
  </si>
  <si>
    <t>Netwerk beheer</t>
  </si>
  <si>
    <t>Het beheren van het netwerk</t>
  </si>
  <si>
    <t>On- en offboarding</t>
  </si>
  <si>
    <t>Ondersteunt het onboarding proces (het registreren, inwerken, voorzien van rechten, toekennen van rollen, ...) en offboarding proces (administreren, ontnemen rechten, ...)</t>
  </si>
  <si>
    <t>Onderwijs aanbod publicatie</t>
  </si>
  <si>
    <t>Dit omvat de publicatie van het onderwijsaanbod in verschillende vormen, bijvoorbeeld in de vorm van een Onderwijs en Examenreglement (OER) of een studiegids.</t>
  </si>
  <si>
    <t>Onderwijs begeleiding ondersteuning</t>
  </si>
  <si>
    <t xml:space="preserve">Tools die de docent ondersteunen bij het geven van inhoudelijke begeleiding, zoals feedback, reflectie, extra uitleg, bij de uitvoering van leertaken door de student._x000D_
</t>
  </si>
  <si>
    <t>Onderwijs beheer</t>
  </si>
  <si>
    <t>Het beheren van het onderwijsaanbod, zoals dat is opgebouwd uit de onderwijsprogramma's, opleidingsonderdelen en leeractiviteiten en alle metadata die daarbij relevant is. Deze metadat omvat bijvoorbeeld de leerdoelen, kerntaken, werkprocessen, studiebelastingsuren etc._x000D_
Het onderwijsaanbod omvat ook per onderwijsprogramma de bijbehorende standaard leerroutes en eventuele keuzemogelijkheden.</t>
  </si>
  <si>
    <t>Onderwijskosten facturering</t>
  </si>
  <si>
    <t xml:space="preserve">Het administreren van en zorgdragen voor het (laten) factureren van onderwijskosten._x000D_
</t>
  </si>
  <si>
    <t>Onderzoek beheer</t>
  </si>
  <si>
    <t>Het ondersteunen van het onderzoeksproces / de uitvoering van het practoraat/lectoraat_x000D_
_x000D_
* De onderzoeksvraag_x000D_
* Het literatuuronderzoek_x000D_
* De onderzoeksgegevens_x000D_
* Het opzetten van een experiment_x000D_
* De onderzoeksresultaten</t>
  </si>
  <si>
    <t>Onderzoekstoepassing beheer</t>
  </si>
  <si>
    <t>Het verzamelen en visualiseren van onderzoeksgegevens, zoals enquetes, interviews, opnames, focusgroepen, A/B testing</t>
  </si>
  <si>
    <t>Ontvangen Examencatalogus</t>
  </si>
  <si>
    <t>Opleiding aanbod en studiegids publicatie</t>
  </si>
  <si>
    <t xml:space="preserve">Het tonen en doorzoekbaar maken van het opleidingenaanbod en de studiegids met aanvullende informatie._x000D_
_x000D_
</t>
  </si>
  <si>
    <t>ComponentOffering; CourseOffering; Program; ProgramOffering</t>
  </si>
  <si>
    <t>https://openonderwijsapi.nl/specification/v5/docs.html#tag/component_offering_model; https://openonderwijsapi.nl/specification/v5/docs.html#tag/course_offering_model; https://openonderwijsapi.nl/specification/v5/docs.html#tag/program_model; https://openonderwijsapi.nl/specification/v5/docs.html#tag/program_offering_model</t>
  </si>
  <si>
    <t>Opleiding aanmelding dienst</t>
  </si>
  <si>
    <t>Het ondersteunen van het initieel registreren van iemands aanmelding voor een opleiding</t>
  </si>
  <si>
    <t>Program; Service</t>
  </si>
  <si>
    <t>https://openonderwijsapi.nl/specification/v5/docs.html#tag/program_model; https://openonderwijsapi.nl/specification/v5/docs.html#tag/service_model</t>
  </si>
  <si>
    <t>Overhandiging opdrachten</t>
  </si>
  <si>
    <t>Het ondersteunen van het aanleveren en inleveren van opdrachten tussen de docent en student</t>
  </si>
  <si>
    <t>Persoonlijke leerroute beheer</t>
  </si>
  <si>
    <t>Het samenstellen, vastleggen en beheren van persoonlijke leerroutes van studenten (voorheen individuele leerarrangementen).</t>
  </si>
  <si>
    <t>Plagiaat detectering</t>
  </si>
  <si>
    <t>Het geautomatiseerd detecteren van plagiaat</t>
  </si>
  <si>
    <t>Plan van inzet beheer</t>
  </si>
  <si>
    <t>Het maken van een (jaar)inzetplan van inzet voor de leden van een onderwijsteam. Zoals het bepalen van het aantal uren lesgeven, innovatie, contentontwikkeling enz.. voor het komende jaar</t>
  </si>
  <si>
    <t>Portaal diensten (extern)</t>
  </si>
  <si>
    <t>Externe omgeving voor het beheren en publiceren van nieuws, applicaties, informatie, evenementen e.d.</t>
  </si>
  <si>
    <t>Portaal diensten (intern)</t>
  </si>
  <si>
    <t>Het beheren en publiceren van nieuws, applicaties, informatie, evenementen e.d._x000D_
_x000D_
* Voor medewerkers_x000D_
* Voor studenten</t>
  </si>
  <si>
    <t xml:space="preserve">Portfolio beheer </t>
  </si>
  <si>
    <t>Het ondersteunen van de student bij het beheren van zijn portfolio</t>
  </si>
  <si>
    <t>Practoraat en lectoraat beheer</t>
  </si>
  <si>
    <t>Ondersteunt het practoraat/lectoraat bij:_x000D_
_x000D_
* Het verzamelen van trends, innovaties en ontwikkelingen in het veld. Daarnaast het verzamelen van ideeën of vraagstukken uit de maatschappij of bedrijfleven. Uit deze set gegevens wordt een behoefte of onderzoeksvraag gedestileerd door de practor._x000D_
* Het werven van participanten die mee willen denken of doen met het onderzoek of met de practor._x000D_
* Het delen van gevonden resultaten en gevonden resultaten_x000D_
* Het toepassen van de resultaten in de beroepspraktijk en het onderwijs (breder dan de instelling zelf)_x000D_
* Het kundig, gestructuureerd en centraal de verzamelen en ontsluiten van kennis beheert door de practor.</t>
  </si>
  <si>
    <t>Print en kopieer diensten</t>
  </si>
  <si>
    <t>Het  beheer van huisdrukkerijapparatuur en multifunctionals</t>
  </si>
  <si>
    <t>Proces management</t>
  </si>
  <si>
    <t>Het ontwerpen, vastleggen en beheren van processen en procesbeschrijvingen.</t>
  </si>
  <si>
    <t>Proces voortgang ondersteuning</t>
  </si>
  <si>
    <t xml:space="preserve"> - Distributie van producten en informatie registraties tussen actiehouders_x000D_
- Bewaking van de actuele status van activiteiten in relatie tot een proces. De bewaking signaleert op basis van het proces waar het deel van uitmaakt hoe de activiteiten in het verleden en de toekomst zich verhouden tot de gewenste doorloop in tijd en gewenste resultaten._x000D_
</t>
  </si>
  <si>
    <t>Proctoring</t>
  </si>
  <si>
    <t>Het digitaal toezicht houden op het afnemen van toetsen of examens.</t>
  </si>
  <si>
    <t>Programma management</t>
  </si>
  <si>
    <t>Het ondersteunen van het werken aan een programma</t>
  </si>
  <si>
    <t>Project management</t>
  </si>
  <si>
    <t>Het ondersteunen van het werken in een project.</t>
  </si>
  <si>
    <t>Relatie beheer</t>
  </si>
  <si>
    <t>Het beheren van gegevens over relaties</t>
  </si>
  <si>
    <t>Rooster constructie</t>
  </si>
  <si>
    <t>Het maken van een rooster</t>
  </si>
  <si>
    <t>Rooster wijziging</t>
  </si>
  <si>
    <t>Het beheren en communiceren van roosterwijzigingen</t>
  </si>
  <si>
    <t>Ruimte beheer</t>
  </si>
  <si>
    <t>Het beheren van gegevens over ruimten. Zoals geschiktheid voor praktijklessen, daglicht, vierkante meter enz..</t>
  </si>
  <si>
    <t>Salaris verwerking</t>
  </si>
  <si>
    <t>Het voeren van de salarisadministratie zoals het uitbetalen van salarissen aan medewerkers.</t>
  </si>
  <si>
    <t>Samenwerking</t>
  </si>
  <si>
    <t>Het samenwerken, communiceren, delen en communiceren zoals sharepoint, teams e.d.</t>
  </si>
  <si>
    <t>Server beheer</t>
  </si>
  <si>
    <t>Het beheren van servers</t>
  </si>
  <si>
    <t>Service management</t>
  </si>
  <si>
    <t>Het ondersteunen van de IT-dienstverlening zoals _x000D_
_x000D_
* incidentbeheer_x000D_
* probleembeheer_x000D_
* wijzigingsbeheer_x000D_
* configuratiebeheer_x000D_
* product en dienstcatalogusbeheer_x000D_
* ...</t>
  </si>
  <si>
    <t>Software beheer</t>
  </si>
  <si>
    <t>Het ondersteunen van het beheren van software</t>
  </si>
  <si>
    <t>Software engineering</t>
  </si>
  <si>
    <t>Het ondersteunen van het vast stellen van behoefte, ontwerpen, realiseren en testen van software (programmeren, versiebeheer, deployment  e.d.)</t>
  </si>
  <si>
    <t>Software uitrol dienst</t>
  </si>
  <si>
    <t>Het ondersteunen van het publiceren/deployen van software</t>
  </si>
  <si>
    <t>Sollicitatie beheer</t>
  </si>
  <si>
    <t>Het beheren van gegevens over sollicitaties</t>
  </si>
  <si>
    <t>Storage beheer</t>
  </si>
  <si>
    <t>Het beheren van opslagsystemen</t>
  </si>
  <si>
    <t>Strategie bepaling</t>
  </si>
  <si>
    <t>Het bepalen en modelleren van strategie-elementen, zoals marktdrivers, doelen, missies, principes, waardetoevoeging, sterkten/zwaktes, bedoelingen, strategie, resultaten.</t>
  </si>
  <si>
    <t>Student gegevens beheer</t>
  </si>
  <si>
    <t>Het beheren van gegevens over deelnemers zoals NAW-gegevens (incl. adresmutaties),  overdracht-, vrijstelling-, bekostigings- en diplomagegevens, formele correspondentie, gemaakte afspraken</t>
  </si>
  <si>
    <t>Student informatie publicatie</t>
  </si>
  <si>
    <t xml:space="preserve">Het integraal aanbieden van voor de student relevante informatie zoals zijn rooster, zijn resultaten, zijn registratiegegevens enz..._x000D_
_x000D_
In de praktijk kan zich dit uiten in een studentenapp voor op een mobiele telefoon of een eigen pagina op een portal_x000D_
_x000D_
</t>
  </si>
  <si>
    <t>Student self service</t>
  </si>
  <si>
    <t>Het bieden van self service diensten zoals het doorgeven van wijzigingen in persoonsgegevens (adressen), afwezigheid melden, inschrijven, fiets reserveren enz...</t>
  </si>
  <si>
    <t>Person; Service</t>
  </si>
  <si>
    <t>https://openonderwijsapi.nl/specification/v5/docs.html#tag/person_model; https://openonderwijsapi.nl/specification/v5/docs.html#tag/service_model</t>
  </si>
  <si>
    <t>Studentbegeleiding</t>
  </si>
  <si>
    <t xml:space="preserve">Het volgen en begeleiden van studenten in hun leertraject. Focus ligt op de mentorbegeleiding en niet op de inhoudelijke begeleiding door een docent, dit wordt gefaciliteerd door 'onderwijsbegeleiding' of 'BPV-begeleiding'._x000D_
_x000D_
</t>
  </si>
  <si>
    <t>Studenten werving</t>
  </si>
  <si>
    <t>Ondersteunt het werven studenten, denk aan de virtuele rondleiding, digitale open dagen, ...</t>
  </si>
  <si>
    <t xml:space="preserve">Studentgegevens uitwisseling  </t>
  </si>
  <si>
    <t xml:space="preserve">Het uitwisselen van studentgegevens zoals:_x000D_
- het importeren van studentgegevens van toeleverende systemen_x000D_
- het selecteren en exporteren van studentgegevens en deze ter beschikking stellen of versturen aan afnemende systemen </t>
  </si>
  <si>
    <t>Studie voortgang bepaling</t>
  </si>
  <si>
    <t xml:space="preserve">Het inzichtelijk maken van de voortgang van de student op basis van diens behaalde resultaten in het licht van het vastgestelde individuele leerarrangement. Ook wel de peilstokmeting genoemd._x000D_
</t>
  </si>
  <si>
    <t>Studieroute beheer</t>
  </si>
  <si>
    <t>Het beheren van studieroutes (NB - focus ligt op de verzameling van content/lesstof en niet op een verzameling van onderwijseenheden zoals een leerarrangement of een complete opleiding of een vak))_x000D_
_x000D_
Denk aan het samenstellen, arrangeren of aaneenrijgen van lesmateriaal/leercontent voor een opleiding(deel)</t>
  </si>
  <si>
    <t>Summatief resultaten beheer</t>
  </si>
  <si>
    <t>Het vastleggen van summatieve resultaten &amp; structuren</t>
  </si>
  <si>
    <t>Technisch applicatie beheer</t>
  </si>
  <si>
    <t>Ondersteunt het technische beheer proces</t>
  </si>
  <si>
    <t>Tijdregistratie</t>
  </si>
  <si>
    <t>Toegang verlening</t>
  </si>
  <si>
    <t xml:space="preserve">Het authenticeren, autoriseren, toegang verlenen tijdens het inloggen. Inclusief de voorziening in federatieve diensten._x000D_
_x000D_
Denk aan:_x000D_
* Entreedienst_x000D_
* ADFS_x000D_
* Surfconext_x000D_
_x000D_
_x000D_
</t>
  </si>
  <si>
    <t>IAM</t>
  </si>
  <si>
    <t>Toets en examen (materiaal) beheer</t>
  </si>
  <si>
    <t>Het opslaan en creëren  van toets- en examens en examenmateriaal, het goedkeuren ervan en het registreren van het gebruik door leerlingen</t>
  </si>
  <si>
    <t>Toets of examen afname</t>
  </si>
  <si>
    <t>Het ondersteunen van het afnemen van toetsen of examens_x000D_
- Toewijzing van toetsen aan specifieke kandidaten. De toewijzing ondersteund ook het genereren van individuele vragensets per student voor een een zelfde toets ten behoeve van fraude kans beperking._x000D_
- Het plaatsen van een toets per student in een voor hem afgeschermde omgeving en het doorsturen van de ingevulde toets en beoordeling naar betrokken medewerkers.</t>
  </si>
  <si>
    <t>Toets of examen planning en inschrijving</t>
  </si>
  <si>
    <t>Het maken en aanbieden van een toets- of examenplanning en het afhandelen van inschrijvingen;_x000D_
- Aanmelding voor deelname aan een activiteit_x000D_
- Matchen van deelname verzoeken met beschikbare activiteiten en toewijzen van een moment voor deelname.</t>
  </si>
  <si>
    <t>Toets of examen voorbereiding</t>
  </si>
  <si>
    <t>Het voorbereiden van een toets of  examen (de logistiek)</t>
  </si>
  <si>
    <t>Toets- of examen beoordeling</t>
  </si>
  <si>
    <t>Geautomatiseerd beoordelen en verwerken van beoordeling per toets onderdeel (zoals van multiple choice vragen) en van de toets als geheel. Beoordeling wordt ondersteund door normen per toets onderdeel en toets.</t>
  </si>
  <si>
    <t>Toets-of examen inleveren</t>
  </si>
  <si>
    <t>Digitaal beschikbaar stellen van een bestand (document of anders, gemaakt buiten het betreffende informatiesysteem) als onderdeel van de toets door een individu aan een informatiesysteem.</t>
  </si>
  <si>
    <t>Toetsplanning beheer</t>
  </si>
  <si>
    <t>Transactie beheer</t>
  </si>
  <si>
    <t>Bedrijfsvoering</t>
  </si>
  <si>
    <t>Het beheren van transacties (o.a. betalingsopdrachten) &amp; mutaties</t>
  </si>
  <si>
    <t>Uitschrijvingen beheer</t>
  </si>
  <si>
    <t>Het administreren van uitschrijvingen, zoals het construeren van het bewijs van uitschrijving</t>
  </si>
  <si>
    <t>Uitwisseling BRON</t>
  </si>
  <si>
    <t>Het formeel uitwisselen van gegevens met de overheid zoals m.b.t. de bekostiging</t>
  </si>
  <si>
    <t>Unified communication</t>
  </si>
  <si>
    <t>Het bieden van communicatiefunctionaliteit zoals voip, skype, receptie ondersteuning</t>
  </si>
  <si>
    <t>Vacature beheer</t>
  </si>
  <si>
    <t>Het beheren van gegevens over vacatures</t>
  </si>
  <si>
    <t>Vermogen beheer</t>
  </si>
  <si>
    <t>Ondersteunt het beheer van vermogen._x000D_
_x000D_
Onder andere:_x000D_
* Leningen_x000D_
* Financiele portofolios &amp; beleggingen_x000D_
* fondsen_x000D_
* ...</t>
  </si>
  <si>
    <t>Verzuimgegevens analyse</t>
  </si>
  <si>
    <t>Het analyseren van de geregistreerde aan- en afwezigheidsmeldingen._x000D_
_x000D_
Bijv. vanwege de verplicht melden via het verzuimloket of het detecteren van mogelijke uitval</t>
  </si>
  <si>
    <t>Verzuimgegevens uitwisseling</t>
  </si>
  <si>
    <t>Het formeel rapporteren van verzuimgegevens</t>
  </si>
  <si>
    <t>Video content beheer</t>
  </si>
  <si>
    <t>Het opnemen, beheren, metadateren en publiceren van video's</t>
  </si>
  <si>
    <t xml:space="preserve">Video streaming dienst </t>
  </si>
  <si>
    <t>Het zoeken en streamen van videomateriaal</t>
  </si>
  <si>
    <t>Voorraad beheer</t>
  </si>
  <si>
    <t>Het beheren van voorraad._x000D_
_x000D_
* Kantoorartikelen_x000D_
* Apparatuur_x000D_
* Goederen</t>
  </si>
  <si>
    <t>Web content beheer</t>
  </si>
  <si>
    <t>Het beheren en publiceren van content op websites</t>
  </si>
  <si>
    <t>Webserver beheer</t>
  </si>
  <si>
    <t>Het beheren van webservers_x000D_
_x000D_
Denk aan:_x000D_
* plaatsen content_x000D_
* performance beheer (caching)_x000D_
* filteren verkeer_x000D_
* routing verkeer_x000D_
* monitoring_x000D_
_x000D_
Bijvoorbeeld:_x000D_
* Apache_x000D_
* IIS_x000D_
* NGINX_x000D_
_x000D_
Opmerking:_x000D_
Focus ligt niet op de content maar op de werking en inrichting van de lokale infrastructuur ervan.</t>
  </si>
  <si>
    <t>Werkplek beheer</t>
  </si>
  <si>
    <t>Het beheren van werkstations</t>
  </si>
  <si>
    <t>Ziekte- en verlof administratie</t>
  </si>
  <si>
    <t>Het registreren van ziekte en verlof van medewerkers</t>
  </si>
  <si>
    <t>Zoek dienst</t>
  </si>
  <si>
    <t>Het ondersteunen bij het vinden van de juiste informatie</t>
  </si>
  <si>
    <t>Zorgdossier beheer</t>
  </si>
  <si>
    <t>Het plannen en registreren van geboden professionele zorg door bijv. psychologen of sociaal-emotionele zorgverleners</t>
  </si>
  <si>
    <t>MORA</t>
  </si>
  <si>
    <t>ArchimateModel</t>
  </si>
  <si>
    <t>Het overkoepelende model voor MORA, waaronder alle volgende object categoriëen vallen.</t>
  </si>
  <si>
    <t>AcademicSession</t>
  </si>
  <si>
    <t>Artifact</t>
  </si>
  <si>
    <t>Association</t>
  </si>
  <si>
    <t>https://openonderwijsapi.nl/specification/v5/docs.html#tag/association_model</t>
  </si>
  <si>
    <t>Course</t>
  </si>
  <si>
    <t>https://openonderwijsapi.nl/specification/v5/docs.html#tag/course_model</t>
  </si>
  <si>
    <t>ComponentOffering; Course; CourseOffering; ProgramOffering</t>
  </si>
  <si>
    <t>https://openonderwijsapi.nl/specification/v5/docs.html#tag/component_offering_model; https://openonderwijsapi.nl/specification/v5/docs.html#tag/course_model; https://openonderwijsapi.nl/specification/v5/docs.html#tag/course_offering_model; https://openonderwijsapi.nl/specification/v5/docs.html#tag/program_offering_model</t>
  </si>
  <si>
    <t>CourseOfferingAssociations</t>
  </si>
  <si>
    <t>Association; ComponentOffering; Course; CourseOffering; ProgramOffering</t>
  </si>
  <si>
    <t>https://openonderwijsapi.nl/specification/v5/docs.html#tag/association_model; https://openonderwijsapi.nl/specification/v5/docs.html#tag/component_offering_model; https://openonderwijsapi.nl/specification/v5/docs.html#tag/course_model; https://openonderwijsapi.nl/specification/v5/docs.html#tag/course_offering_model; https://openonderwijsapi.nl/specification/v5/docs.html#tag/program_offering_model</t>
  </si>
  <si>
    <t>LearningComponent</t>
  </si>
  <si>
    <t>Component</t>
  </si>
  <si>
    <t>https://openonderwijsapi.nl/specification/v5/docs.html#tag/component_model</t>
  </si>
  <si>
    <t>LearningComponentOffering</t>
  </si>
  <si>
    <t>Component; ComponentOffering; CourseOffering; ProgramOffering</t>
  </si>
  <si>
    <t>https://openonderwijsapi.nl/specification/v5/docs.html#tag/component_model; https://openonderwijsapi.nl/specification/v5/docs.html#tag/component_offering_model; https://openonderwijsapi.nl/specification/v5/docs.html#tag/course_offering_model; https://openonderwijsapi.nl/specification/v5/docs.html#tag/program_offering_model</t>
  </si>
  <si>
    <t>LearningComponentOfferingAssociation</t>
  </si>
  <si>
    <t>Association; Component; ComponentOffering; CourseOffering; ProgramOffering</t>
  </si>
  <si>
    <t>https://openonderwijsapi.nl/specification/v5/docs.html#tag/association_model; https://openonderwijsapi.nl/specification/v5/docs.html#tag/component_model; https://openonderwijsapi.nl/specification/v5/docs.html#tag/component_offering_model; https://openonderwijsapi.nl/specification/v5/docs.html#tag/course_offering_model; https://openonderwijsapi.nl/specification/v5/docs.html#tag/program_offering_model</t>
  </si>
  <si>
    <t>Membership</t>
  </si>
  <si>
    <t>DEAD MODEL???????_x000D_
_x000D_
Zie geen relatie tot andere artifacts._x000D_
_x000D_
Geen link met group of association.</t>
  </si>
  <si>
    <t>Organization</t>
  </si>
  <si>
    <t>ProgramOffering</t>
  </si>
  <si>
    <t>ProgramOfferingAssociation</t>
  </si>
  <si>
    <t>Association; ComponentOffering; CourseOffering; Program; ProgramOffering</t>
  </si>
  <si>
    <t>https://openonderwijsapi.nl/specification/v5/docs.html#tag/association_model; https://openonderwijsapi.nl/specification/v5/docs.html#tag/component_offering_model; https://openonderwijsapi.nl/specification/v5/docs.html#tag/course_offering_model; https://openonderwijsapi.nl/specification/v5/docs.html#tag/program_model; https://openonderwijsapi.nl/specification/v5/docs.html#tag/program_offering_model</t>
  </si>
  <si>
    <t>TestComponent</t>
  </si>
  <si>
    <t>OOAPI v6: het “blauwdruk-examen” (wat wordt er getoetst?)</t>
  </si>
  <si>
    <t>TestComponentOffering</t>
  </si>
  <si>
    <t>is een concrete sessie van het “blauwdruk-examen” (wat wordt er getoetst?) in een bepaalde periode/locatie (wanneer &amp; waar).</t>
  </si>
  <si>
    <t>TestComponentOfferingAssociation</t>
  </si>
  <si>
    <t>legt de inschrijving + poging + resultaat van één persoon op een concrete sessie van het “blauwdruk-examen” (wat wordt er getoetst?) in een bepaalde periode/locatie (wanneer &amp; waar) vast.</t>
  </si>
  <si>
    <t>Communicatie</t>
  </si>
  <si>
    <t>BusinessFunction</t>
  </si>
  <si>
    <t xml:space="preserve">Het zorgdragen en ondersteunen bij het intern- en extern juist communiceren zoals het onderhouden van het imago en het onderzoeken van de markt._x000D_
_x000D_
</t>
  </si>
  <si>
    <t>Facility en ICT Management</t>
  </si>
  <si>
    <t xml:space="preserve">Het ondersteunen en zorgdragen voor facilitaire en ICT-diensten en middelen zodat de organisatie zijn werkzaamheden kan uitvoeren.
Resultaat
* Optimale, inzetbare set van middelen (locatie, meubilair, voorzieningen, ICT, catering etc.) voor het uitvoeren van het onderwijs en bedrijfsvoering van nu en de toekomst inclusief het onderhoud daarvan.
Vastgelegd in
* Facilityplan
* Gebouwenbeheerplanning
* Onderwijsruimte overzicht en onderhoudsplanning
* Middelenoverzicht en onderhoudsplanning inclusief ICT middelen
* etc.
</t>
  </si>
  <si>
    <t>Financieel Management</t>
  </si>
  <si>
    <t xml:space="preserve">Het beheren van en sturen op de financiële positie van de instelling en het hierover verantwoording afleggen_x000D_
_x000D_
Resultaat_x000D_
* Optimale inzet van financiële middelen van nu en de toekomst voor onderwijs en bedrijfsvoering, inclusief overzicht mogelijke risico’s._x000D_
_x000D_
Vastgelegd in_x000D_
* Financieel meerjarenplan_x000D_
* Begrotingen_x000D_
* Boekhouding_x000D_
* Financiële overzichten_x000D_
* etc._x000D_
</t>
  </si>
  <si>
    <t>Human Resource Management</t>
  </si>
  <si>
    <t xml:space="preserve">Het personeelsbeheer zoals het werven, opleiden, juist inzetten en de salarisbetaling_x000D_
_x000D_
Resultaat_x000D_
* Goed opgeleide, gemotiveerde, tevreden en gefaciliteerde interne én externe medewerkers  met toekomstperspectief dat voldoet aan de huidige en toekomstige inzetvraag van het onderwijs en bedrijfsvoering._x000D_
_x000D_
Vastgelegd in_x000D_
* Meerjaren-personeelsplan_x000D_
* Functiebouwwerk_x000D_
* Personeels- / salarisbeleid_x000D_
* Scholingsplannen_x000D_
* Verzuimplannen_x000D_
* etc._x000D_
</t>
  </si>
  <si>
    <t>Informatie- en datamanagement</t>
  </si>
  <si>
    <t>Het zorgdragen voor het ontwerpen, ontwikkelen en beheren van de informatievoorziening en het gegevensbeheer (datamanagement) zoals het verwerven van applicaties, vraagarticulatie, werken onder architectuur, beheren (kern)gegevens</t>
  </si>
  <si>
    <t>Inkoop en contractmanagement</t>
  </si>
  <si>
    <t xml:space="preserve">Het inkopen/inhuren van mensen en middelen en het bewaken van daaruitvoortvloeiende contracten. Denk aan offertes, aanbestedingen, contractonderhandelingen, prestatieafspraken, bestellen, contracten bewaken_x000D_
_x000D_
Resultaat_x000D_
* Goede kwalitatieve contracten (incl. ondersteuning bij aanbesteding) met derden (exclusief verbintenissen met BPV partijen of studenten), kosten efficiënte aanschaf- en beheerkosten van gebouwen en middelen._x000D_
_x000D_
Vastgelegd in_x000D_
* Beschrijving van aankoop en inkoopprocedure en voorschriften, contracttemplates voor contractpartijen en leveranciers en contracten met derden_x000D_
</t>
  </si>
  <si>
    <t>Juridische ondersteuning</t>
  </si>
  <si>
    <t xml:space="preserve">Het adviseren bij interne vraagstukken waar een juridische kant aan zit. Denk aan conflictsituaties, formeel ingediende bezwaren en klachten._x000D_
_x000D_
</t>
  </si>
  <si>
    <t>nee</t>
  </si>
  <si>
    <t>(Eigen) Dossier</t>
  </si>
  <si>
    <t>BusinessObject</t>
  </si>
  <si>
    <t>Intake en plaatsen</t>
  </si>
  <si>
    <t>Instroom</t>
  </si>
  <si>
    <t xml:space="preserve">Het dossier van de student tijdens zijn gehele leerloopbaan. In het (eigen) dossier verzamelt de student zijn eigen leerproducten. 
</t>
  </si>
  <si>
    <t>Hoe modeleren we dit?</t>
  </si>
  <si>
    <t>Aggreratie van: ProgramOfferingAssociation, CourseOfferingAssociation, Component, CourseOffering, ProgramOffering, ComponentOffering, EducationSpecification, Person, Result</t>
  </si>
  <si>
    <t>ja</t>
  </si>
  <si>
    <t>Dossier is Portfolio + waardedocument. 
Hier ontbreken waardedocument en zelfreflectie / documenten voor bewijsstukken. 
De Scoop van OOAPI is onderwijsaanbod. De vraag aan de OOAPI groep is of zij de scoop van OOAPI willen uitbreiden</t>
  </si>
  <si>
    <t>Aggregeerbare data zonder context niet mapbaar naar OOAPI v6 model.
Niet in lijn met ambitites OOAPI. Kan in een consumer profiel maar zal waarschijnlijk niet deel kunnen worden van de standaard.</t>
  </si>
  <si>
    <t>Nee</t>
  </si>
  <si>
    <t>Ja*, zie opmerkingen</t>
  </si>
  <si>
    <t>Aan- en afwezigheid</t>
  </si>
  <si>
    <t xml:space="preserve">Geregistreerde aan- of afwezigheid van een student op een gepland tijdstip in een gespecificeerde omgeving._x000D_
</t>
  </si>
  <si>
    <t xml:space="preserve">Hier voorziet de OOAPI niet, heeft wel link met association (wie) en offering wat,wanneer  </t>
  </si>
  <si>
    <t xml:space="preserve">Person Association, ComponentOffering </t>
  </si>
  <si>
    <t>Component person association uitbreiden met attribuut v5 niet v6 wellicht wel Nu nog geen mogelijkheid om in blokken en dagdelen in te delen</t>
  </si>
  <si>
    <t>Geen directe mapping mogelijk binnen OOAPI v6 models. Inspectie gaat niet akkooord met een resultaat ter inidicatie van afwezigheid. Tegenvoorbeeld: een "0" kan ook een resultaat ter verantwoording van afwezigheid zijn. Betekent niet dat je aanwezig bent geweest. Test componenet Offering Association &lt;i.r.t.&gt; person. In association object zijn velden "attend" "attendence" "irregularities" enumeration attributen voor examens. Hierin kun je vastleggen of iemand aanwezig is, in welke mate en of er bijzonderheden zijn. Kan niet bij Learning Component zo ver we nu weten.
Dit attribuut is al aanwezig in het OKE consumer profiel. Dit zou bij een eventueel OKx profiel overgenomen kunnen worden. Daarnaast is dit goede feedback op de v6 spec, kunnen we in de werkgroep meenemen. Hier maken we een ticket van.</t>
  </si>
  <si>
    <t>Aangeboden opleiding</t>
  </si>
  <si>
    <t>Een opleidingseenheid die door een onderwijsaanbieder aangeboden wordt in een bepaalde vorm, al dan niet op een bepaalde onderwijslocatie, waarop een onderwijsvolger zich kan inschrijven.</t>
  </si>
  <si>
    <t xml:space="preserve"> Opleiding</t>
  </si>
  <si>
    <t>Education Specification, Program, ProgramOffering,</t>
  </si>
  <si>
    <t xml:space="preserve">https://openonderwijsapi.nl/specification/v5/docs.html#tag/education_specification_model; https://openonderwijsapi.nl/specification/v5/docs.html#tag/program_model; https://openonderwijsapi.nl/specification/v5/docs.html#tag/offerings; </t>
  </si>
  <si>
    <t>Programme &lt;i.r.t.&gt; ProgrammeOffering</t>
  </si>
  <si>
    <t>Nadruk op conceptuele programma's of planningen. Dit is mogelijk. Bas gaf aan dat er i.r.t. planning een tekort koming in zat. Offering -&gt; state: inactive.</t>
  </si>
  <si>
    <t>Aanmelding</t>
  </si>
  <si>
    <t>Het schriftelijke verzoek om een student toe te laten tot een school en/of een specifieke opleiding.</t>
  </si>
  <si>
    <t>Association,Person, ProgramOffering &lt;i.r.t.&gt; Program</t>
  </si>
  <si>
    <t xml:space="preserve">https://openonderwijsapi.nl/specification/v5/docs.html#tag/associations; https://openonderwijsapi.nl/specification/v5/docs.html#tag/program_model; https://openonderwijsapi.nl/specification/v5/docs.html#tag/persons; </t>
  </si>
  <si>
    <t xml:space="preserve">Association,Person, (program offeringassociation &lt;i.r.t.&gt; Person), ProgramOffering &lt;i.r.t.&gt; ProgramOffering, </t>
  </si>
  <si>
    <t>OOAPI kan proces lastiger bedienen zodra je niet bestaat / bekend bent bij een instelling. OOAPI kan een persoon aanmaken en dan koppelen aan ProgrammeOfferings. Maar de persoon en volledige aanelding Moet via een andere weg binnen komen. De OOAPI interfacet daar op. Denk aan Studielink. Let wel op METADATA attributen zoals verzoek wijziging, Audit data. Maar er is wel een status attribuut voor associations, waarin pending en finalized (oid) uiteengezet worden.</t>
  </si>
  <si>
    <t>Besluit tot diplomering of certificering</t>
  </si>
  <si>
    <t>Het besluit door de onderwijsaanbieder, genomen op basis van behaalde examenresultaten en EVC-besluiten, of een student een waardedocument ontvangt</t>
  </si>
  <si>
    <t>Diplomabesluit</t>
  </si>
  <si>
    <t>Hierin voorziet OOAPI niet</t>
  </si>
  <si>
    <t>zie v5 opmerkingen. Besluit is proces inhoudelijke informatie. Processtap levert een diploma op / of waarde document op. Dit zou bijvoorbeeld informatie zijn die je uitwisselt. Niet direct het besluit.
Result.final (boolean): indicates that the result has been finalised by the exam committee. Can be done in any step of the test taking and assessment cycle.</t>
  </si>
  <si>
    <t>BPV leertaak</t>
  </si>
  <si>
    <t>De leertaak is de onderwijsactiviteit waarin de student kennis en/of vaardigheden verwerft. Bij een BPV-leertaak gaat het om het verwerven van kennis en/of vaardigheden als onderdeel van de beroepspraktijkvorming.</t>
  </si>
  <si>
    <t>Stageopdracht</t>
  </si>
  <si>
    <t>Course &lt;i.r.t.&gt; LearningComponent EN &lt;i.r.t.&gt; TestComponent</t>
  </si>
  <si>
    <t>Dit gaat over het WAT. In de praktijk blijkt het lastig om fijnmazig genoeg vast te leggen wat er op "leeractiviteit" niveau gaat gebeuren. In de praktijk zijn componenten dus erg leeg, omdat hier de docent creatieve vrijheid en regiobinding neemt/krijgt versus administratieve overhead. Daarom altijd i.r.t. course modeleren, zodat er op course niveau in iedergeval Leertaken zijn welke worden opgepakt in de onderliggende leeractiviteiten -&gt; componenten. Kortom, dit is beschrijvende data van een component. Vraag is, is het modeleerbaar richting bedrijven. -&gt; kun je een bedrijf koppelen aan een bedrijf? Ja -&gt; via andere organisatie gekoppeld aan course, bpv bedrijf. LearningComponentType enumeratie borgt  het concept van een stage, door custom enumeration toe te staan of via het generieke type 'external'. Binnen de OOAPI specificatie moet hier rekening gehouden worden met een sector afgestemde enumeration.</t>
  </si>
  <si>
    <t>Ja</t>
  </si>
  <si>
    <t>BPV-bedrijf</t>
  </si>
  <si>
    <t>Het bedrijf waar een student beroepspraktijkvorming volgt of kan volgen.</t>
  </si>
  <si>
    <t>Stagebedrijf</t>
  </si>
  <si>
    <t>Organization past niet omdat de typering alleen onderwijsinstellingen betreft</t>
  </si>
  <si>
    <t>Organisation</t>
  </si>
  <si>
    <t>zie v5 opmerkingen</t>
  </si>
  <si>
    <t>BPV-match</t>
  </si>
  <si>
    <t>Het resultaat van het proces van het koppelen van een student aan een BPV-plaats in een vastgestelde periode, vastgelegd in een BPV-overeenkomst.</t>
  </si>
  <si>
    <t>Person, CourseOffering, Association</t>
  </si>
  <si>
    <t>https://openonderwijsapi.nl/specification/v5/docs.html#tag/persons; https://openonderwijsapi.nl/specification/v5/docs.html#tag/course_offering_model;  https://openonderwijsapi.nl/specification/v5/docs.html#tag/associations;</t>
  </si>
  <si>
    <t>CourseOffering, Association</t>
  </si>
  <si>
    <t>BPV-overeenkomst</t>
  </si>
  <si>
    <t>Een overeenkomst tussen student, bpv-bedrijf en de instelling over te volgen beroepspraktijkvorming.</t>
  </si>
  <si>
    <t>Praktijkovereenkomst, stageovereenkomst</t>
  </si>
  <si>
    <t>OOAPI heeft het niet over BPV, hier is BPV geïnterpreteerd als een course die je op locatie (situated) uitvoert</t>
  </si>
  <si>
    <t>https://openonderwijsapi.nl/specification/v5/docs.html#tag/course_offering_model; https://openonderwijsapi.nl/specification/v5/docs.html#tag/association_model</t>
  </si>
  <si>
    <t>Document, CourseOffering, Association</t>
  </si>
  <si>
    <t>v6 slaat de referentie naar documenten tussen systemen toe. Wanneer er alleen verwezen wordt naar één overeenkomst in de vorm van een document. Maar het document op zichzelf heeft altijd betrekking tot meerdere informatieobjecten, denk aan BPV plaats, BPV bedrijf etc. Deze zijn niet direct modeleerbaar. Waardoor je een ongerelateerd "zwevend" document krijgt. Daarom is deze niet direct mapbaar, gezien de afwezigheid van relateerbare modelering.</t>
  </si>
  <si>
    <t>BPV-plaats</t>
  </si>
  <si>
    <t>Een beschikbare plaats waar een student beroepspraktijkvorming (BPV) volgt of kan volgen.</t>
  </si>
  <si>
    <t>Stageplek</t>
  </si>
  <si>
    <t>Een BPVplek is een CourseOffering met 1 plek</t>
  </si>
  <si>
    <t>https://openonderwijsapi.nl/specification/v5/docs.html#tag/course_offering_model;</t>
  </si>
  <si>
    <t>Organisation, CourseOffering</t>
  </si>
  <si>
    <t>BPV-project</t>
  </si>
  <si>
    <t>Een project - niet noodzakelijkerwijs binnen een bedrijf - waarbinnen de student de beroepspraktijkvorming volgt of kan volgen.</t>
  </si>
  <si>
    <t>BPV beschouw je als een course op locatie, waar die locatie is binnen school of bij een bedrijf is een ander gegeven. De link naar organisatie wordt dan wel lastig. Immers een organisatie kan alleen een school zijn</t>
  </si>
  <si>
    <t>Course &lt;i.r.t.&gt; Component afhankelijk van scope</t>
  </si>
  <si>
    <t>https://openonderwijsapi.nl/specification/v5/docs.html#tag/course_model;</t>
  </si>
  <si>
    <t>Course &lt;i.r.t.&gt; LearningComponent afhankelijk van scope instellingskeuze (recursiviteit programs en courses).</t>
  </si>
  <si>
    <t>Alleen modelleerbaar zodra deze niet gekoppeld hoeft te worden aan je BPV entiteiten zoals plaats, bedrijf en overeenkomst.</t>
  </si>
  <si>
    <t>Branche opleiding</t>
  </si>
  <si>
    <t>Een opleiding voor een specifieke branche die niet valt binnen de bestaande kwalificatiestructuur.</t>
  </si>
  <si>
    <t>Vakopleiding</t>
  </si>
  <si>
    <t xml:space="preserve">Programme </t>
  </si>
  <si>
    <t>Certificaat</t>
  </si>
  <si>
    <t>Een mbo-certificaat bevat een deel van de kwalificatie-eisen van een mbo-opleiding. Dit kan gaan om keuzedelen of beroepsgerichte onderdelen. De minister van OCW stelt met een regeling vast aan welke onderdelen van een mbo-opleiding een mbo-certificaat wordt verbonden. Een door de student behaald mbo-certificaat wordt geregistreerd in het diplomaregister van DUO.</t>
  </si>
  <si>
    <t>mbo certificaat</t>
  </si>
  <si>
    <t>https://openonderwijsapi.nl/#/technical/consumers-and-profiles/rio?id=formaldocument-waardedocumentsoort</t>
  </si>
  <si>
    <t>RIO formaldocument-waardedocument</t>
  </si>
  <si>
    <t xml:space="preserve">Het daadwerkelijke certificaat kan niet worden gemodelleerd in OOAPI. Maar scans of digitale kopiëen van een certificaat wel. </t>
  </si>
  <si>
    <t>Certificaat opleiding</t>
  </si>
  <si>
    <t>Een opleiding die leidt tot een certificaat.</t>
  </si>
  <si>
    <t>Program &lt;let op recursiviteit: Program in Program&gt; i.r.t. course.</t>
  </si>
  <si>
    <t>OOAPI v5 heeft alleen recursiviteit op Program niveau (program in program), wat betekent dat er minder flexibel gemodelleerd kan worden op onderwijsmodel. De mapping naar certificaten en credentials kan dus niet op cursus niveau. Dit betekent dat er alleen certificaten op program niveau kunnen worden toegekend en niet op course niveau. Wat betekent dat je recursief met programma's moet gaan werken (onnodige explosie van program's) om micro credentials te faciliteren. LETOP: Programma QualificationAwarded property onder program en de types daarvan (niet extensible) zijn niet toereikend voor de niveau aanduiding van het diploma of certificaat.</t>
  </si>
  <si>
    <t xml:space="preserve">Program &lt;i.r.t.&gt; recursief Program &lt;i.r.t&gt; Course. </t>
  </si>
  <si>
    <t>OOAPI v6 heeft recursiviteit op Program niveau (program in program), wat betekent dat er minder flexibel gemodelleerd kan worden op onderwijsmodel. De mapping naar certificaten en credentials kan dus niet op cursus niveau. Dit betekent dat er alleen certificaten op program niveau kunnen worden toegekend en niet op course niveau. Wat betekent dat je recursief met programma's moet gaan werken (onnodige explosie van program's) om micro credentials te faciliteren. Moet dus via Program met Formal Document Type -&gt; "certificate".</t>
  </si>
  <si>
    <t>Cohort / periode</t>
  </si>
  <si>
    <t>Groep van studenten die onder hetzelfde onderwijs- en examenreglement vallen, binnen hetzelfde tijdvak (lopend van het eerste jaar van de opleiding tot en met het laatste jaar, uitgaande van de studieduur).</t>
  </si>
  <si>
    <t>RIO consumer; ProgramOffering; CourseOffering &lt;i.r.t.&gt; Group</t>
  </si>
  <si>
    <t>https://openonderwijsapi.nl/#/technical/consumers-and-profiles/rio?id=mapping-programoffering-and-courseoffering-to-rio-aangebodenhoopleidingcohort-aangebodenhoopleidingsonderdeelcohort-and-aangebodenparticuliereopleidingcohort</t>
  </si>
  <si>
    <t>RIO consumer</t>
  </si>
  <si>
    <t xml:space="preserve">Group i.r.t. AcademicSession : type "academic year" of Start datetime </t>
  </si>
  <si>
    <t>Deelkwalificatie</t>
  </si>
  <si>
    <t xml:space="preserve">Een combinatie van eindtermen voor een bepaalde beroepsopleiding. </t>
  </si>
  <si>
    <t>LearningOutcome wordt oa gebruikt om taxonomieen uit te wisselen (V6) 
Kwalificatiedossier (SBB) code zou een toevoeging zijn om dat dit specifiek voor het MBO is.
Learninng outcome is dan te gebruiken bij uitwisseling tussen WO/HBO  en MBO</t>
  </si>
  <si>
    <t>Het modeleren van domeinen en delen daarvan is handig om te modeleren. Denk aan opdeling en verdeling kerntaken werkprocessen en link van aan OOAPI modellen
Bij LearningOutcome is ook gekeken naar het SBB model</t>
  </si>
  <si>
    <t>Diploma</t>
  </si>
  <si>
    <t>Waardedocument dat de student behaalt nadat aan alle eisen is voldaan die beschreven zijn in de kwalificatie.</t>
  </si>
  <si>
    <t>rio</t>
  </si>
  <si>
    <t xml:space="preserve">Wel het feit dat je een diploma hebt, maar niet het document zelf. </t>
  </si>
  <si>
    <t>Programme attribuut FormalDocumentType: "diploma". /documents</t>
  </si>
  <si>
    <t>Het daadwerkelijke diploma kan niet worden gemodelleerd in OOAPI. Maar scans of digitale kopiëen van een certificaat wel. De vraag is of je dit moet willen. Het feit dat je het waardepapier gehaald hebt kan gemodeleerd worden via formaldocument type gekoppeld aan Programme properties.
Is technisch mogelijk maar niet logisch in een REST API</t>
  </si>
  <si>
    <t>Diploma opleiding</t>
  </si>
  <si>
    <t>Een opleiding die leidt tot een diploma.</t>
  </si>
  <si>
    <t>Opleiding</t>
  </si>
  <si>
    <t>Let op: Programma QualificationAwarded (niet extensible) is niet toereikend voor de niveau aanduiding van het diploma of certificaat.</t>
  </si>
  <si>
    <t>Programme attribuut FormalDocumentType: "diploma". En Programme, qualificationsAwarded property -&gt; qualificationAwardedType: vocational diploma</t>
  </si>
  <si>
    <t>Het daadwerkelijke diploma kan niet worden gemodelleerd in OOAPI. Maar scans of digitale kopiëen van een certificaat wel. De vraag is of je dit moet willen. Het feit dat je het waardepapier gehaald hebt kan gemodeleerd worden via formaldocument type gekoppeld aan Programme properties.</t>
  </si>
  <si>
    <t>Het (opleidings)domein is de eerste laag van de kwalificatiestructuur.</t>
  </si>
  <si>
    <t>Het modeleren van domeinen en delen daarvan is handig om te modeleren. Denk aan opdeling en verdeling kerntaken werkprocessen en link van aan OOAPI modellen
programma.otherCodes.codeType = "eckid"
Zou een goede toevoeging zijn op LearningOutcome object, maken we een ticket van</t>
  </si>
  <si>
    <t>Doorstroom dossier</t>
  </si>
  <si>
    <t>Het dossier dat tussen onderwijsinstellingen wordt uitgewisseld, met daarin gegevens over de student en zijn loopbaan relevant voor de instelling die de student een vervolgopleiding aanbiedt</t>
  </si>
  <si>
    <t>Zie 9 dossier. Doorstroomdossier is een subset van dossier</t>
  </si>
  <si>
    <t>Niet direct te relateren aan OOAPI modellen. Enorm brede aggregratie van modellen en documenten. Mogelijk instelling specifiek. 
Student kan uitgewisseld worden maar niet het gehele dossier, dit kan mogelijk via een consumer object aangevuld worden maar moet nader uitgezocht worden, hier denken we graag samen over verder</t>
  </si>
  <si>
    <t>Eenheid met waardedocument</t>
  </si>
  <si>
    <t>Andere eenheid afgerond met een waardedocument binnen de kwalificatie</t>
  </si>
  <si>
    <t>Afhankelijk van hierarchische inrichting onderwijsmodel. Waardedocumenten alleen op program niveau.</t>
  </si>
  <si>
    <t xml:space="preserve">Programme attribuut FormalDocumentType: diploma certificate . En Programme, qualificationsAwarded property -&gt; qualificationAwardedType: vocational diploma. + level of qualification </t>
  </si>
  <si>
    <t>Examen</t>
  </si>
  <si>
    <t>Een onderzoek naar kennis, inzicht, houding en vaardigheden van de student, op basis waarvan de instelling na beoordeling een formeel bewijs van prestatie toekent.</t>
  </si>
  <si>
    <t>component</t>
  </si>
  <si>
    <t>Uitsplitsing van breed begrip Examen nodig. Je kunt in de V5 het daadwerkelijke examen niet doorsturen. Maar wil je dit uberhaupt?</t>
  </si>
  <si>
    <t>Document en TestComponent</t>
  </si>
  <si>
    <t xml:space="preserve">Je kunt in OOAPI v6 het daadwerkelijk te maken examen uitwisselen via document model. Maar wil je dit? Welk onderdeel van het (digitaal) examen wordt hier bedoeld? </t>
  </si>
  <si>
    <t>Examen deelname</t>
  </si>
  <si>
    <t>De registratie van een formele activiteit (lees examensessie) waarin een examen wordt afgenomen.</t>
  </si>
  <si>
    <t>ComponentOffering
Person
Association</t>
  </si>
  <si>
    <t>https://openonderwijsapi.nl/specification/v5/docs.html#tag/component_offering_model; https://openonderwijsapi.nl/specification/v5/docs.html#tag/person_model;  
 https://openonderwijsapi.nl/specification/v5/docs.html#tag/association_model;</t>
  </si>
  <si>
    <t>Examen reglement en handboek</t>
  </si>
  <si>
    <t>De regels en afspraken die binnen de instelling gelden omtrent examinering en diplomering.</t>
  </si>
  <si>
    <t>Document</t>
  </si>
  <si>
    <t>Je kunt in OOAPI v6 het daadwerkelijk gemaakte document uitwisselen via document model. Maar wil je dit? Welk onderdeel van het (digitaal) dossier wordt hier bedoeld? Er is geen selectie aan modellen die samen een examenregelement opstellen.</t>
  </si>
  <si>
    <t>Examen resultaat</t>
  </si>
  <si>
    <t>Een formeel door de instelling geregistreerde waardering (bewijs van prestatie) van de instelling van een door een student uitgevoerde opdracht.</t>
  </si>
  <si>
    <t>ComponentResult; CourseResult; ProgramResult; Assocation; Person</t>
  </si>
  <si>
    <t>https://openonderwijsapi.nl/specification/v5/docs.html#tag/person_model;  
 https://openonderwijsapi.nl/specification/v5/docs.html#tag/association_model;</t>
  </si>
  <si>
    <t>TestComponentOfferingAssociation, result object met meerdere attributen daaronder.</t>
  </si>
  <si>
    <t>Examendossier</t>
  </si>
  <si>
    <t>Het dossier met de bewijsstukken van de summatieve (kwalificerende) beoordelingen en EVC-rapportages die relevant zijn voor de diplomering.</t>
  </si>
  <si>
    <t>Hierin voorziet OOAPI niet, toekomst OKD?</t>
  </si>
  <si>
    <t xml:space="preserve">Het zou in versie 6 kunnen, maar dit is niet waar de OOAPI voor bedoeld is
 Dit is meer analyse ipv transactioneel OK-D </t>
  </si>
  <si>
    <t>Je kunt in OOAPI v6 het daadwerkelijk gemaakte document uitwisselen via document model. Maar wil je dit? Welk onderdeel van het (digitaal) examen wordt hier bedoeld? Er is geen selectie aan modellen die samen een examen dossier opstellen.
Het ontsluiten van bewijsstukken is op het moment geen mogelijkheid met de OOAPI, wel kunnen losse summatieve resultaten ontsloten worden, een uitbreiding kunnen we over in gesprek</t>
  </si>
  <si>
    <t>Examenplan</t>
  </si>
  <si>
    <t>Het examenplan geeft per kwalificatie een overzicht van de examenonderdelen en examens die een mbo-school inzet voor de examinering (kwalificerende beoordeling). Het examenplan geeft inzicht in de onderdelen die een student met een voldoende moet afsluiten om in aanmerking te komen voor een diploma.
In het examenplan staat binnen welke omgeving (mbo-school of beroepspraktijk) de examens plaatsvinden. Hierbij houdt de school rekening met de praktische haalbaarheid van de examinering binnen de praktijksituatie en de afspraken in het sectoraal examenprofiel. In een examenplan staan de examenonderdelen en examens voor de beroepsgerichte eisen en de generieke taal- en rekeneisen. Ook de wijze waarop een school deze onderdelen examineert, staat in het examenplan.</t>
  </si>
  <si>
    <t>Program, Courses, components</t>
  </si>
  <si>
    <t>Eerste alinea is mogelijk, tweede alinea niet. 
Het is een aggregatie van informatie,  door inzet van de bestaande API's kan dan een overbelasting van een systeem ontstaan. Kan gebouwd worden met slimme backend logica.</t>
  </si>
  <si>
    <t>Programme &gt; Course &gt; TestComponent gekoppeld aan course</t>
  </si>
  <si>
    <t>Eerste alinea is mogelijk, tweede alinea niet. 
Het is een aggregatie van informatie,  door inzet van de bestaande API's kan dan een overbelasting van een systeem ontstaan. Kan gebouwd worden met slimme backend logica.
Nu gedeeltelijk mogelijk maar er staat een doorontwikkeling klaar voor 6.x waarbij de 'StructureBlock' gedefineerd kan worden</t>
  </si>
  <si>
    <t>Faciliteiten</t>
  </si>
  <si>
    <t>Een voorziening ten behoeve van een bepaald (onderwijs)doel. Faciliteiten worden beheerd door de Onderwijsaanbieder (bijvoorbeeld door de Facilitaire Dienst).</t>
  </si>
  <si>
    <t>Program, properties: Resources, Course Resources, Component Resources</t>
  </si>
  <si>
    <t xml:space="preserve">https://openonderwijsapi.nl/specification/v5/docs.html#tag/program_model; https://openonderwijsapi.nl/specification/v5/docs.html#tag/course_model; https://openonderwijsapi.nl/specification/v5/docs.html#tag/component_model; </t>
  </si>
  <si>
    <t>Program, properties (array van Strings): Resources, Course Resources, Component Resources</t>
  </si>
  <si>
    <t>Formatieve beoordeling</t>
  </si>
  <si>
    <t>Een formatieve beoordeling (bijvoorbeeld: cijfer aanwezigheid beschrijving) dat niet meetelt voor de uiteindelijke kwalificering maar de lerende informatie geeft over de kwaliteit van zijn of haar leren.</t>
  </si>
  <si>
    <t>Cijfer, resultaat</t>
  </si>
  <si>
    <t>ProgramResult, CourseResult, ComponentResult, result, Association</t>
  </si>
  <si>
    <t>CourseOfferingAssociation, porperty result. Result type</t>
  </si>
  <si>
    <t>Let op: ligt aan instelling specifieke keuze om onderwijs model te modeleren.</t>
  </si>
  <si>
    <t>opnieuw overleggen</t>
  </si>
  <si>
    <t>Formatieve resultaat structuur</t>
  </si>
  <si>
    <t>Structuur waarin formatieve resultaten gestructureerd kunnen worden vastgelegd zodat op basis daarvan de voortgang gevolgd kan worden.
De formatieve resultatenstructuur is een structuur voor de geordende vastlegging van formatieve resultaten.
Per opleidingsonderdeel kunnen één of meerdere resultatenstructuren worden gemaakt. Elke resultatenstructuur bestaat uit een aantal toetsen waarvoor resultaten geregistreerd kunnen worden en een berekeningswijze, om tot een eindresultaat voor het geheel te komen. Bij elke toets wordt gedefinieerd op welke schaal het resultaat geregistreerd kan worden.
Elke toets kan gerelateerd worden aan één of meerdere onderdelen van de kwalificatiestructuur.</t>
  </si>
  <si>
    <t>Toetsboom, resultaatboom</t>
  </si>
  <si>
    <t>Wil je deze structuur uberhaupt uitwisselen? OOAPI mapt inherent resultaten aan curssusen en heeft in feite resultaat structuur in zich. Mappen van resultaten aan personen.
Ik wil deze opnieuw even toetsen, welke onderlinge relatie moeten deze resultaten hebben.
Nu heeft elke ComponentOffering potentieel een resultaat, is dit niet voldoende?</t>
  </si>
  <si>
    <t>Generiek examenonderdeel</t>
  </si>
  <si>
    <t>De examenonderdelen uit het kwalificatiedossier die binnen het basisdeel vallen. Het basisdeel bevat de generieke onderdelen Nederlandse taal, rekenen, loopbaan en burgerschap en Engels (uitsluitend voor niveau 4). Verder bevat het gemeenschappelijke elementen, die gelden voor alle kwalificaties in het dossier: kerntaken, werkprocessen, vakkennis, vaardigheden en houdingsaspecten.</t>
  </si>
  <si>
    <t>Programme &lt;i.r.t&gt; testcomponentOfferingAssociation</t>
  </si>
  <si>
    <t>Ligt aan de gekozen inrichting om onderwijsmodel in te richten. Denk aan Programme (opleidingsnaam) met daarin een 'leeg' program (generiek examen Nederlands) met daaronder een course waaraan een testcomponent hangt waarop je een summatief resultaat terug krijgt aan het einde van ieder jaar o.i.d.</t>
  </si>
  <si>
    <t>Informatiemateriaal</t>
  </si>
  <si>
    <t xml:space="preserve">Het materiaal waarin de onderwijsaanbieder naar buiten (bijvoorbeeld naar potentiële studenten) communiceert over het opleidingenaanbod. Onder het informatiemateriaal vallen bijvoorbeeld brochures en de website. </t>
  </si>
  <si>
    <t>Marketing communicatie</t>
  </si>
  <si>
    <t>Zou kunnen via extensible fields
Programme, Course, Organisation</t>
  </si>
  <si>
    <t>OOAPI is hier niet voor ontworpen.
OOAPI is ontworpen voor het ontsluiten van het onderwijsaanbod en komt hier dus voor een groot deel in tegemoet, de data KAN verrijkt worden met wervende teksten of marketingteksting dmv van consumer object of extensible attributen, maar kan ook in samenwerking met andere APIs ingezet worden, zoals bv. hovi</t>
  </si>
  <si>
    <t>Inschrijving</t>
  </si>
  <si>
    <t>Een overeenkomst tussen de onderwijsaanbieder en de student waar de rechten en plichten van onderwijsaanbieder en student in staan. _x000D_
_x000D_
Deze overeenkomst bevat ook voorwaarden waarin o.a. is opgenomen dat de student (en bij minderjarigen de ouders) akkoord gaan met alle voor het onderwijs relevante onderdelen zoals de BPV.</t>
  </si>
  <si>
    <t>Onderwijsovereenkomst</t>
  </si>
  <si>
    <t>ProgramOffering, Association, Person</t>
  </si>
  <si>
    <t xml:space="preserve">https://openonderwijsapi.nl/specification/v5/docs.html#tag/program_offering_model; https://openonderwijsapi.nl/specification/v5/docs.html#tag/association_model; https://openonderwijsapi.nl/specification/v5/docs.html#tag/person_model; </t>
  </si>
  <si>
    <t>Opsplitsing tussen inschrijving nodig binnen inschrijvingsporces. Denk aan administratieve inschrijvingsaanvraag, en het resulterende document: onderwijsovereenkomst. OOAPI kan de administratieve inschrijving goed modeleren, maar niet de overeenkomst.</t>
  </si>
  <si>
    <t>Intake resultaat</t>
  </si>
  <si>
    <t xml:space="preserve">Een door de instelling afgegeven advies aan de (potentiële) student over diens geschiktheid en capaciteit om een opleiding te volgen._x000D_
</t>
  </si>
  <si>
    <t>Toelating</t>
  </si>
  <si>
    <t>RIO formaldocument-waardedocument, Person, Association, ProgrammOffering, via attribuut type state. Denied, maar er is geen context of omschrijving.</t>
  </si>
  <si>
    <t xml:space="preserve">https://openonderwijsapi.nl/#/technical/consumers-and-profiles/rio?id=formaldocument-waardedocumentsoort
https://openonderwijsapi.nl/specification/v5/docs.html#tag/program_offering_model; https://openonderwijsapi.nl/specification/v5/docs.html#tag/association_model; https://openonderwijsapi.nl/specification/v5/docs.html#tag/person_model; 
</t>
  </si>
  <si>
    <t>ProgrammeOfferingAssocaition irt Person, attribute status: denied.</t>
  </si>
  <si>
    <t>Maar geen audit data.</t>
  </si>
  <si>
    <t>Inzetplanning mensen en middelen</t>
  </si>
  <si>
    <t>De verzameling van de in tijd geplande capaciteit van medewerkers en middelen.</t>
  </si>
  <si>
    <t>ComponentOfferingAssociation, ComponentOffering, Person, Group.groupType="team", Membership.role="lecturer/teaching_assistant/coordinator,etc..."</t>
  </si>
  <si>
    <t>https://openonderwijsapi.nl/specification/v6/docs.html#tag/groups/operation/listGroupById
https://openonderwijsapi.nl/specification/v6/docs.html#tag/membership_model</t>
  </si>
  <si>
    <r>
      <t xml:space="preserve">Een Association van een Person aan een Offering kan ook o.a. een </t>
    </r>
    <r>
      <rPr>
        <b/>
        <sz val="11"/>
        <color theme="1"/>
        <rFont val="Calibri"/>
        <family val="2"/>
        <scheme val="minor"/>
      </rPr>
      <t>lesgevende</t>
    </r>
    <r>
      <rPr>
        <sz val="11"/>
        <color theme="1"/>
        <rFont val="Calibri"/>
        <family val="2"/>
        <scheme val="minor"/>
      </rPr>
      <t xml:space="preserve"> toewijzen aan een Component. Het toekennen van materiaal aan een component en/of ruimte is (nog) niet mogelijk
Membership.role zou een bepaald type personeel aan een offering kunnen toewijzen.
Inzien van capaciteit van mensen en middelen: /groups/{groupId} komt terug met een array van gekoppelde offerings, waaruit de bezetting van mensen op te maken is. Voor materiaal is dit niet mogelijk.</t>
    </r>
  </si>
  <si>
    <t>Jaarplanning</t>
  </si>
  <si>
    <t>De matching van het onderwijsaanbod, studenten, BPV, de medewerkers en de middelen, grofmazig uiteengezet over het schooljaar (globaal jaarrooster) en indien van toepassing periodes. In voorkomende gevallen kan de instelling bijsturen op de genoemde onderdelen. Het maken van de jaarplanning kent een wisselwerking met het analyseren en opstellen van de werkverdeling. Op basis van de jaarplanning wordt het plan van inzet voor de medewerkers samengesteld.</t>
  </si>
  <si>
    <t>Program, Course, ProgramOffering, CourseOffering, Offering.state="concept"</t>
  </si>
  <si>
    <t>Bij een ProgramOffering of CourseOffering is de "state" op bijvoorbeeld "concept" of "inactive" te zetten. Het grove aanbod is ook te presenteren, misschien moeten we even inzoomen op de onderliggende processen en attributen die hierbij van toepassing zijn</t>
  </si>
  <si>
    <t>Kerntaak</t>
  </si>
  <si>
    <t>Een kerntaak is een substantieel deel van de beroepsuitoefening naar belang omvang (tijdsbeslag of frequentie) of beide. Een kerntaak bestaat uit een geheel van inhoudelijk met elkaar samenhangende werkprocessen kenmerkend voor de beroepsuitoefening. Een kwalificatiedossier heeft een beperkt aantal kerntaken. Alle kerntaken samen beschrijven de essentie van de beroepsuitoefening van de betreffende beroepengroep.</t>
  </si>
  <si>
    <t xml:space="preserve">Is een kerntaak onder een Component te hangen met daarbij een resultaat? Hiernaast is LearningOutcome aangegeven, Program, Course of Component kunnen leiden tot een LearningOutcome (of kwalificatie) dit is wel moeilijk te plaatsen, we willen hier graag nog verder over in gesprek.  </t>
  </si>
  <si>
    <t>Keuzedeel</t>
  </si>
  <si>
    <t>Keuzedelen zijn een verrijking van de kwalificatie (basis- en profieldeel) en kunnen voor de student verbredend of verdiepend zijn of bijdragen aan een betere doorstroom naar een vervolgopleiding.</t>
  </si>
  <si>
    <t>Programme als onderdeel van een Programme.</t>
  </si>
  <si>
    <t>ProgrammeType sluit mogelijk niet goed aan bij bestaande OOAPI enumeraties. Nu zou type minor ingevuld wordt.</t>
  </si>
  <si>
    <t>Kwalificatie</t>
  </si>
  <si>
    <t>De kwalificatie is de combinatie van het basis- en profieldeel uit het kwalificatiedossier. De kwalificatie omvat wat de beginnend beroepsbeoefenaar moet kennen en kunnen als hij gediplomeerd is en start op de arbeidsmarkt.
Relatie/overlap met andere bronnen: 
Bron: Triple A
Naam: Kwalificatie
Definitie: De kwalificatie is de combinatie van het basis- en profieldeel uit het kwalificatiedossier. De kwalificatie omvat wat de beginnend beroepsbeoefenaar moet kennen en kunnen als hij gediplomeerd is en start op de arbeidsmarkt.</t>
  </si>
  <si>
    <t>Kwalificatie dossier</t>
  </si>
  <si>
    <t>Het kwalificatiedossier beschrijft de eisen waaraan een student moet voldoen om zijn diploma te behalen. Elk dossier bevat een of meer kwalificaties en iedere kwalificatie leidt tot een diploma. 
Alle kwalificatiedossiers samen, aangevuld met de keuzedelen, vormen de kwalificatiestructuur.
Een kwalificatiedossier bestaat uit een basisdeel en een of meer profieldelen. Het basisdeel bevat de generieke onderdelen Nederlandse taal, rekenen, loopbaan en burgerschap en Engels (uitsluitend voor niveau 4). Verder bevat het gemeenschappelijke elementen, die gelden voor alle kwalificaties in het dossier: kerntaken, werkprocessen, vakkennis, vaardigheden en houdingsaspecten. Het profieldeel beschrijft de specifieke onderdelen. Keuzedelen zijn een plus op de kwalificatie en maken de opleiding compleet.</t>
  </si>
  <si>
    <t>Leeractiviteit</t>
  </si>
  <si>
    <t>De planbare of roosterbare eenheden waaruit een opleidingsonderdeel is opgebouwd, dus de activiteiten die in het rooster moeten worden opgenomen.</t>
  </si>
  <si>
    <t>EducationSpecification - Course -&gt; Component - Offering</t>
  </si>
  <si>
    <t>Alleen mapbaar naar OOAPI v5 wanneer een leeractivitieit verdiepend t.o.v. leertaak vast legt wanneer, en in welke ruimte, en op welke manier er wordt les gegeven.
 Maar de inhoud wordt vast gelegd in component. 
Als er dus inhoudelijke afwijkingen zijn t.o.v. het component waaraan de offering verbonden is, dan is er zowel een "nieuw" component als een verbonden offering nodig.</t>
  </si>
  <si>
    <t>Leermiddelen lijst</t>
  </si>
  <si>
    <t xml:space="preserve">Het totaal aan leermiddelen dat is gekoppeld aan een aantal samenhangende onderwijsproducten. </t>
  </si>
  <si>
    <t>Boekenlijst</t>
  </si>
  <si>
    <t>Program Resources, Course Resources, Component Resources</t>
  </si>
  <si>
    <t>Beperkt: vraag program op via ID en dan door naar resources. Kan via query en parameters op de array of strings. Er is dus geen mogelijkheid om specifiek op type leermiddel te zoeken</t>
  </si>
  <si>
    <t>Beperkt: Kan via query en parameters op de array of strings. Er is dus geen mogelijkheid om specifiek op type leermiddel te zoeken</t>
  </si>
  <si>
    <t>Leertaak</t>
  </si>
  <si>
    <t>De leertaak is de onderwijsactiviteit waarin de student kennis en/of vaardigheden verwerft. 
Leertaken zijn onder te verdelen in: 
* theoretische leertaken
* praktische leertaken
* zelfstudie leertaken
* BPV-leertaken</t>
  </si>
  <si>
    <t>Course &lt;i.r.t.&gt; LearningComponent EN &lt;i.r.t.&gt; TestComponent en eventueel in learning outcomes.</t>
  </si>
  <si>
    <t>Dit gaat over het WAT. In de praktijk blijkt het lastig om fijnmazig genoeg vast te leggen wat er op "leeractiviteit" niveau gaat gebeuren. In de praktijk zijn componenten dus erg leeg, omdat hier de docent creatieve vrijheid en regiobinding neemt/krijgt versus administratieve overhead. Daarom altijd i.r.t. course modeleren, zodat er op course niveau in iedergeval Leertaken zijn welke worden opgepakt in de onderliggende leeractiviteiten -&gt; componenten. Kortom, dit is beschrijvende data van een component.</t>
  </si>
  <si>
    <t>Leervraag</t>
  </si>
  <si>
    <t>De vraag van een (potentiele) student aan de onderwijsaanbieder waarin verwoord wordt wat men wil leren. Het formuleren van de leervraag is een activiteit van de begeleider samen met de deelnemer of opdrachtgever waarin de leervraag wordt uitgedrukt in producten uit de onderwijscatalogus (eventueel) aangevuld met additionele wensen en voorwaarden.</t>
  </si>
  <si>
    <t xml:space="preserve">Uitdrukken van beschikbaar onderwijsproducten kan heel goed. Maar de uitbreidbare wens is niet te realiseren. </t>
  </si>
  <si>
    <t>LearningOutcomes</t>
  </si>
  <si>
    <t>Leeruitkomsten maken het makkelijker om potentiële wensen te formuleren. Je kunt in ieder geval antwoord geven op een leervraag via de query mogelijkheden op leeruitkomsten. Maar het specifiek vastleggen van gewenste leervraag is nog steeds lastig zonder specifiekere definitie.</t>
  </si>
  <si>
    <t>Leslocatie</t>
  </si>
  <si>
    <t xml:space="preserve">De leertaak wordt op een bepaalde locatie uitgevoerd, vaak samenhangend met de aard van de leertaak. Bij leslocatie kan gedacht worden aan een specifiek lokaal op een onderwijslocatie, maar ook aan een online omgeving of op het BPV-bedrijf. </t>
  </si>
  <si>
    <t>Dit is een room en geen building omdat hier in de Mora gesproken wordt over een specifiek lokaal, buiiding is onderwijslocatie</t>
  </si>
  <si>
    <t>Lesmateriaal</t>
  </si>
  <si>
    <t xml:space="preserve">Alle bij een leeractiviteit inzetbare materialen en middelen die samengesteld of beschikbaar gesteld worden door de docent of instructeur. </t>
  </si>
  <si>
    <t>Geen onderscheidend type, dus alleen string.</t>
  </si>
  <si>
    <t>Maatwerk opleiding</t>
  </si>
  <si>
    <t>Een opleiding op maat voor een organisatie, instelling, of groep van personen.</t>
  </si>
  <si>
    <t xml:space="preserve">Programme property type, niet openbare opleidingen kan via niet gepubliceerde </t>
  </si>
  <si>
    <t>De matching van het onderwijsaanbod, de medewerkers en de faciliteiten, grofmazig uiteengezet over meerdere jaren.</t>
  </si>
  <si>
    <t>Middelen</t>
  </si>
  <si>
    <t xml:space="preserve">De middelen die nodig zijn om het leertaken uit te kunnen voeren. Hieronder vallen de toelichtende en instructiematerialen (lesmateriaal), maar ook de leermiddelen (zie leermiddelenlijst) en de faciliteiten. </t>
  </si>
  <si>
    <t>Module</t>
  </si>
  <si>
    <t xml:space="preserve">Eenheid afgerond met een waardedocument binnen de kwalificatie anders dan diploma of certificaat. </t>
  </si>
  <si>
    <t>Wat is dat andere? Een bewijs van deelname?</t>
  </si>
  <si>
    <t>Let op: enumerations van qualification awarded en document type niet toereikend voor MBO. Maar wel extensible dus mogelijk. Standaard afspraken voor maken binnen MBO.</t>
  </si>
  <si>
    <t>OER</t>
  </si>
  <si>
    <t>Het onderwijs- en examenreglement bevat het onderwijsprogramma en het examenreglement en -handboek. In het OER staan de regels en afspraken die binnen de instelling gelden omtrent het onderwijs, de examinering en diplomering. Ieder cohort valt onder een eigen (specifiek voor het cohort) OER.</t>
  </si>
  <si>
    <t>Ondersteuningsplan</t>
  </si>
  <si>
    <t>Het ondertsteuningsplan bevat de ondersteuningsbehoefte en de afspraken die daarover met de student zijn gemaakt. Dit zijn afspraken voor extra ondersteuning vanwege een handicap of chronische ziekte. Dit kan gaan om ondersteuning in de vorm van begeleiding door medewerkers van de instelling, experts van buiten de instelling (bijvoorbeeld een doventolk) of fysieke aanpassingen in het gebouw/lokaal. Ook kan het gaan om ondersteuning die nodig is voor het uitvoeren van bpv. Deze afspraken moeten voor de inschrijving, dus voor de start van de opleiding worden vastgelegd.</t>
  </si>
  <si>
    <t>Zorgplan</t>
  </si>
  <si>
    <t>Onderwijs aanbieder</t>
  </si>
  <si>
    <t>Een organisatie die door een bevoegd gezag is ingesteld voor het verzorgen van onderwijs.</t>
  </si>
  <si>
    <t>School, ROC, College</t>
  </si>
  <si>
    <t>https://openonderwijsapi.nl/specification/v5/docs.html#tag/organization_model</t>
  </si>
  <si>
    <t>Building, Room</t>
  </si>
  <si>
    <t>Onderwijs en examenvisie</t>
  </si>
  <si>
    <t xml:space="preserve">De visie van de onderwijsaanbieder op het aangeboden onderwijs en de examinering daarvan. De onderwijs- en examenvisie is een vertaling van de strategische plannen van de onderwijsaanbieder. _x000D_
</t>
  </si>
  <si>
    <t>Onderwijs locatie</t>
  </si>
  <si>
    <t>Een (cluster van) verblijfsobject(en) waar een onderwijsvolger zich kan inschrijven op opleidingen, die daar door een onderwijsaanbieder worden aangeboden.</t>
  </si>
  <si>
    <t>School</t>
  </si>
  <si>
    <t>Organization i.r.t. faculteiten</t>
  </si>
  <si>
    <t>JA</t>
  </si>
  <si>
    <t>Onderwijs programma</t>
  </si>
  <si>
    <t>Een planbaar geheel van opleidingsonderdelen, met daarbij aanvullende informatie over de volgorde of periode waarin deze door studenten kunnen worden gevolgd. Het onderwijsprogramma staat model voor de persoonlijke leerroute van een student.</t>
  </si>
  <si>
    <t>HORA mapping identiek</t>
  </si>
  <si>
    <t>Programme</t>
  </si>
  <si>
    <t>Onderwijsplan</t>
  </si>
  <si>
    <t>Het onderwijsplan is een samenhangend overzicht waarin per opleiding de opleidingsonderdelen staan die samen een opleiding vormen. Deze opleidingsonderdelen bestaan weer uit leertaken.
Het onderwijsplan bevat daarnaast bijvoorbeeld ook de doelen van de opleiding, de leerinhoud, toetsen, didactische principes en/of de wijze en het tijdstip waarop dit aangeboden wordt. In het onderwijsplan staat binnen welke omgeving (mbo-school, zelfstudie of beroepspraktijk) het onderwijs plaatsvindt. Hierbij houdt de school rekening met de praktische haalbaarheid en de doelgroep.</t>
  </si>
  <si>
    <t>Wat is de samenhang tussen Onderwijsplan, onderwijsprogramma en opleidingsplan</t>
  </si>
  <si>
    <t>Opleidingen overzicht</t>
  </si>
  <si>
    <t>Het geheel van opleiding dat door de instelling wordt aangeboden.</t>
  </si>
  <si>
    <t> It clusters programs to a main educationSpecification that is used in registries such as RIO.</t>
  </si>
  <si>
    <t>Highest Level ProgramOffering</t>
  </si>
  <si>
    <t>https://openonderwijsapi.nl/specification/v5/docs.html#tag/educationSpecification_model</t>
  </si>
  <si>
    <t>Opleidings eenheid</t>
  </si>
  <si>
    <t>Een geheel van kennis, inzicht en vaardigheden. Een opleidingseenheid kan beschreven worden naar het waardedocument dat de student ontvangt na het afronden van de aangeboden opleiding. In dat geval kent de opleidingseenheid de volgende varianten: 
* diploma-opleiding
* branche-opleiding
* certificaat-opleiding
* maatwerk-opleiding</t>
  </si>
  <si>
    <t>Dit betekent dat een bracheopleiding en een maatwerkopleiding per definitie modules zijn? Zie ook 63; Bij de HORA is dit een course</t>
  </si>
  <si>
    <t>Opleidings-onderdeel</t>
  </si>
  <si>
    <t>Een onderscheidbaar geheel van kennis, inzicht en vaardigheden, dat onderdeel kan zijn van één of meer opleidingen._x000D_
_x000D_
Een opleidingsonderdeel is een afgerond geheel binnen een onderwijsprogramma._x000D_
De persoonlijke leerroute kan worden samengesteld uit opleidingsonderdelen._x000D_
_x000D_
De leeractiviteiten zijn de roosterbare eenheiden, dus datgene wat in het kader van het opleidingsonderdeel in het rooster gepland met worden._x000D_
_x000D_
De leertaken zijn vervolgens de concrete taken die een student uitvoert in het kader van een leeractiviteit.</t>
  </si>
  <si>
    <t>Program i.r.t. Course (om match met leeractiviteit -&gt; component) of alleen course.</t>
  </si>
  <si>
    <t>Let op ligt aan hierarchische inrichting van onderwijsmodel</t>
  </si>
  <si>
    <t>Programme i.r.t. Course (om match met leeractiviteit -&gt; learning/testcomponent) of alleen course.</t>
  </si>
  <si>
    <t>Opleidingsgroep</t>
  </si>
  <si>
    <t>Een groep van bij elkaar behorende opleidingen.</t>
  </si>
  <si>
    <t>Parameter query op program level. Inrichtingsvraagstuk -&gt; we kunnen programs koppelen aan een overkoepelend program en dan alle onderliggende relaties ophalen.</t>
  </si>
  <si>
    <t>Parameter query op program level.</t>
  </si>
  <si>
    <t>PDCA producten</t>
  </si>
  <si>
    <t>Informatieobjecten binnen de PDCA-cyclus, zoals de begroting en jaarrekening. De objecten kunnen betrekking hebben op de gehele onderwijsaanbieder, maar ook op een specifiek organisatieonderdeel zoals het onderwijsteam.</t>
  </si>
  <si>
    <t>Zou kunnen maar wil je dit zo?</t>
  </si>
  <si>
    <t>Persoonlijke leerroute</t>
  </si>
  <si>
    <t>Een planbaar geheel van opleidingsonderdelen, waarvoor het onderwijsprogramma model staat, dat afgestemd is op de leervraag van de student. Een leerroute bestaat uit een verzameling opleidingsonderdelen aangevuld met aanvullende eisen en wensen met betrekking tot de volgorde of de periode waarin de student deze wil volgen.</t>
  </si>
  <si>
    <t>ProgramOffering, CourseOffering, ComponentOffering en associations</t>
  </si>
  <si>
    <t>In theorie moet het hele nominale programma bekend zijn. Zodra studenten zich gaan inschrijven kunnen er associaties opgehaald worden via OOAPI met student. Maar aanvullende maatwerk wensen zijn lastig.</t>
  </si>
  <si>
    <t>ProgrammeOffering, CourseOffering, LearningComponentOffering en TestComponentOffering en bijbehorende associations</t>
  </si>
  <si>
    <t>Plaatsing</t>
  </si>
  <si>
    <t xml:space="preserve">De plaatsing of deelname van een student in een opleiding. </t>
  </si>
  <si>
    <t>https://openonderwijsapi.nl/specification/v5/docs.html#tag/program_offering_model
https://openonderwijsapi.nl/specification/v5/docs.html#tag/association_model
https://openonderwijsapi.nl/specification/v5/docs.html#tag/person_model</t>
  </si>
  <si>
    <t>State v/d association op associated</t>
  </si>
  <si>
    <t>Status = rond ens taat niet meer op pending. Maar Accepted.</t>
  </si>
  <si>
    <t>Planning</t>
  </si>
  <si>
    <t>De gemaakte planning op basis van:
* het beoogde onderwijsaanbod
* de schatting van het onderwijs en studenten
* de meerjarenplanning en het jaarplan uit het roosterproces
* de analyse van de werkverdeling
* de analyse van de faciliteiten
* de clustering van leertaken
In de planning wordt rekening gehouden met:
* afspraken die voortvloeien uit de onderwijswetgeving (urennorm)
* afspraken die voortvloeien uit de CAO MBO
* afspraken die voortvloeien uit de OER
* de inhoud van de curricula</t>
  </si>
  <si>
    <t>Portfolio</t>
  </si>
  <si>
    <t xml:space="preserve">Een verzameling bewijsstukken aangevuld met zelfreflectie die iemands vaardigheden kennis en scholing illustreren. 
</t>
  </si>
  <si>
    <t>Aggregratie van: ProgramOfferingAssociation, CourseOfferingAssociation, Component, CourseOffering, ProgramOffering, ComponentOffering, EducationSpecification, Person, Result</t>
  </si>
  <si>
    <t>Zelfreflectie ontbreekt, en complex aggregatieniveau, Zie Eigen dossier. Eigenlijk voorziet de OOAPI hier niet direct in tenzij je allemaal calls maakt en deze data met Backend logica aggregreerd. Maar door middel van Aggregratie kan het wel. Je kunt wel endpoint : GET Persons/PersonId/Associations met parameters association type = componentoffering en state = associated ... etc. &amp; resultstate=completed. je mist dan alleen de stap dat je enkel toets en examens op haalt. Maar met 1 extra query parameter mogelijk wel -&gt; type=test. v6 wel. Geen zelf reflectie dus kan sowieso niet.</t>
  </si>
  <si>
    <t>Praktische leertaak</t>
  </si>
  <si>
    <t xml:space="preserve">De leertaak is de onderwijsactiviteit waarin de student kennis en/of vaardigheden verwerft. Bij een praktische leertaak gaat het om het verwerven van vaardigheden. </t>
  </si>
  <si>
    <t>https://openonderwijsapi.nl/specification/v5/docs.html#tag/component_offering_model</t>
  </si>
  <si>
    <t>componentType = practical</t>
  </si>
  <si>
    <t xml:space="preserve">LearningComponent </t>
  </si>
  <si>
    <t>Beschrijving van leertaak maar dan type praktisch.</t>
  </si>
  <si>
    <t>Rooster</t>
  </si>
  <si>
    <t>De verzameling van in tijd ingeplande onderwijsactiviteiten (leertaken) gekoppeld aan de daarvoor noodzakelijke middelen en medewerkers.</t>
  </si>
  <si>
    <t xml:space="preserve">ComponentOffering Association </t>
  </si>
  <si>
    <t>Wel om rooster op te vragen niet om te roosteren, met middelen in component object. (nog niet zichtbaar in de OOAPI v5 object diagram), maar nodige attributen zijn wel aanwezig.</t>
  </si>
  <si>
    <t xml:space="preserve">Wel om rooster op te vragen niet om te roosteren, met middelen in component object. (nog niet zichtbaar in de OOAPI v5 object diagram), maar nodige attributen zijn wel aanwezig. Is dit toereikend?
</t>
  </si>
  <si>
    <t>Schoolplan</t>
  </si>
  <si>
    <t>Het schoolplan bevat een beschrijving van het beleid met betrekking tot de kwaliteit van het onderwijs dat binnen de school wordt gevoerd, en omvat in elk geval het onderwijskundig beleid, het personeelsbeleid en het stelsel van kwaliteitszorg.</t>
  </si>
  <si>
    <t>wil je dit zo?</t>
  </si>
  <si>
    <t>Strategische plannen</t>
  </si>
  <si>
    <t>De plannen waarin de onderwijsaanbieder beschrijft hoe de organisatie zal reageren op externe ontwikkelingen en hoe de organisatie zich moet ontwikkelen.</t>
  </si>
  <si>
    <t>Student</t>
  </si>
  <si>
    <t xml:space="preserve">Een persoon die aan onderwijsactiviteiten deelneemt of dat wil gaan doen. Dit omvat ingeschreven studenten, potentiële studenten en alumni.
</t>
  </si>
  <si>
    <t>Leerling, deelnemer</t>
  </si>
  <si>
    <t>Student begeleiding dossier</t>
  </si>
  <si>
    <t>Het begeleidingsdossier bevat gegevens over de leerresultaten, de leerervaring, de begeleiding, de sociaal-emotionele ontwikkeling en het gedrag van een student.</t>
  </si>
  <si>
    <t>Summatieve resultaat structuur</t>
  </si>
  <si>
    <t xml:space="preserve">Structuur waarin summatieve resultaten gestructureerd kunnen worden vastgelegd zodat op basis daarvan de voortgang gevolgd kan worden m.b.t. diplomering. In de summatieve resultaatstructuur worden examenonderdelen en examens vastgelegd. </t>
  </si>
  <si>
    <t>Examen boom</t>
  </si>
  <si>
    <t>Teamplan</t>
  </si>
  <si>
    <t>De beschrijving van doelen, capaciteiten en inzet van mensen en middelen om dat behalen. Het teamplan heeft altijd betrekking op een specifiek (onderwijs)team.</t>
  </si>
  <si>
    <t>Theoretische leertaak</t>
  </si>
  <si>
    <t xml:space="preserve">De leertaak is de onderwijsactiviteit waarin de student kennis en/of vaardigheden verwerft. Bij een theoretische leertaak gaat het om het verwerven van theoretische kennis. </t>
  </si>
  <si>
    <t>Learning Component beschrijving, Learningoutcomes, type=theoretical</t>
  </si>
  <si>
    <t>Uitschrijving</t>
  </si>
  <si>
    <t>De uitschrijving bestaande uit onder andere de exitformulieren.
Een exitformulier is een document waarop de reden en eventueel omstandigheden van het vertrek van een deelnemer wordt vastgelegd.</t>
  </si>
  <si>
    <t>OOApi voorziet niet in een exitformulier bij de uitschrijving deel ondersteuning. De administratieve verwerking kan wel via association status.</t>
  </si>
  <si>
    <t>Association tussen Person en hoogste niveau Program kun je status wijzigen</t>
  </si>
  <si>
    <t>Administratieve uitschrijving kan wel. Exitformulier daarbij niet.</t>
  </si>
  <si>
    <t>Voorzieningen</t>
  </si>
  <si>
    <t xml:space="preserve">Het uitvoeren van leertaken wordt ondersteund door voorzieningen. Hiermee wordt alles bedoeld wat het onderwijs mogelijk maakt. </t>
  </si>
  <si>
    <t>Vrijstelling</t>
  </si>
  <si>
    <t xml:space="preserve">Het besluit dat de onderwijsaanbieder neemt dat een student niet hoeft deel te nemen aan een onderwijseenheid en dat hierin geen examen afgelegd hoeft te worden. Onder andere het EVC-traject kan leiden tot één of meerdere vrijstellingen. </t>
  </si>
  <si>
    <r>
      <t xml:space="preserve">10 en 104 zijn qua definitie niet helemaal op elkaar afgestemd. 104 is het besluit om een vrijstelling te verlenen. Een vrijstelling an sich is dus geen besluit maar een voornemen tot besluit. Moet de definitie dan niet zijn: </t>
    </r>
    <r>
      <rPr>
        <i/>
        <sz val="11"/>
        <color rgb="FFFF0000"/>
        <rFont val="Calibri"/>
        <family val="2"/>
        <scheme val="minor"/>
      </rPr>
      <t>Het voornemen tot besluit om een student vrij te stellen van deelname aan een onderwijseenheid en dat daarin geen examen afgelegd hoeft te worden. Onder andere een EVC traject kan leiden tot één of meerdere vrijstellingen</t>
    </r>
  </si>
  <si>
    <t>Vrijstellingsbesluit</t>
  </si>
  <si>
    <t xml:space="preserve">Een besluit, op basis van het EVC-portfolio aan vrijstellingen dat is ingediend, of eerder verworven competenties leiden tot een vrijstelling.
</t>
  </si>
  <si>
    <t>Een besluit, op basis van het EVC-portfolio aan vrijstellingen dat is ingediend, of eerder verworven competenties dat leidt tot een of meerdere vrijstellingen.</t>
  </si>
  <si>
    <t xml:space="preserve">Resultaat zou kunnen maarhet besluit van de examencommissie om vrijstelling te verlenen is een proces business gerelateerd ding. Op testcomponent niveau zou je bijv wel het resultaat "vrijstelling" neer kunnen zetten. </t>
  </si>
  <si>
    <t>Waarde document (diploma / certificaat)</t>
  </si>
  <si>
    <t>Het bewijsstuk van een eindoordeel over het voltooien van een opleiding, keuzedeel, deelkwalificatie of module door een onderwijsaanbieder</t>
  </si>
  <si>
    <t>Zie ook Module welke waarde documenten zijn er nog meer? Is hier een discrete lijst van te maken?
Binnen de RIO kennen we: 
diploma; certificaat
geen_officieel_document
schooladvies
getuigschrift</t>
  </si>
  <si>
    <t>Het document niet. Maar het resultaat wel bij een association wel. Kan alleen nooit als bewijsdienen richting instanties.</t>
  </si>
  <si>
    <t>Werkproces</t>
  </si>
  <si>
    <t>Een werkproces is een afgebakend geheel van beroepshandelingen binnen een kerntaak. Het werkproces kent een begin en een eind heeft een resultaat en wordt als kenmerkend herkend in de beroepspraktijk. Een werkproces bestaat dus nooit uit één handeling of gedraging. Meerdere werkprocessen kunnen gelijktijdig lopen. Dat ze een begin en eind hebben wil niet per se zeggen dat ze na elkaar komen maar dat ze duidelijk te onderscheiden zijn van andere werkprocessen.</t>
  </si>
  <si>
    <t>Zelfstudie-leertaak</t>
  </si>
  <si>
    <t xml:space="preserve">De leertaak is de onderwijsactiviteit waarin de student kennis en/of vaardigheden verwerft. Bij een zelfstudie-leertaak verwerft de student kennis door zelfstandig leerstof te verwerken. </t>
  </si>
  <si>
    <t>LearningComponent Property type: Selfstudy</t>
  </si>
  <si>
    <t>Zorgdossier</t>
  </si>
  <si>
    <t>Het zorgdossier bevat alle documenten en gegevens over lichamelijke psychische en sociaal-emotionele beperkingen van de deelnemer. Het zorgdossier is van het studentbegeleidingsdossier gescheiden omdat dit dossier meer privacygevoelige informatie bevat.
Het zorgdossier is ook gescheiden van het ondersteuningsplan. Het ondertsteuningsplan bevat de ondersteuningsbehoefte en de afspraken die daarover met de student zijn gemaakt. Het zorgdossier bevat het handelingsplan, doorgaans opgesteld door een zorgprofessional.</t>
  </si>
  <si>
    <t>Aan- en afwezigheid registreren en analyseren</t>
  </si>
  <si>
    <t>BusinessProcess</t>
  </si>
  <si>
    <t>Onderwijs ondersteunen</t>
  </si>
  <si>
    <t xml:space="preserve">Resultaat_x000D_
* Voldoen aan de wettelijke vereisten m.b.t. aanwezigheid (BOT en BPV) en signalering bij te grote ongeoorloofde afwezigheid en daarmee kans op uitval of studievertraging van de student._x000D_
_x000D_
Vastgelegd in_x000D_
* Geregistreerde aanwezigheid_x000D_
* Geanalyseerde en gerapporteerde aan- en afwezigheid/uitval_x000D_
* Melding aan DUO-leerplicht_x000D_
* Signaal voor begeleidingsproces._x000D_
</t>
  </si>
  <si>
    <t>Aanbesteden</t>
  </si>
  <si>
    <t>Inkoop en contract Management</t>
  </si>
  <si>
    <t>Het inkopen via een formele door de europese overheden vastgestelde procedure</t>
  </si>
  <si>
    <t>Aanmelden</t>
  </si>
  <si>
    <t>Aanmelden (incl. doorstroom)</t>
  </si>
  <si>
    <t xml:space="preserve">De student meldt zich voor aan voor een opleiding bij de mbo-school. In deze keten heeft de actie 'aanmelden' betrekking op één opleiding, studenten kunnen zich voor meer dan één opleiding aanmelden bij één of meerdere MBO-scholen. Na de aanmelding door de student wordt de aanmelding bevestigd. Vervolgens start de informatie en communicatie namens de instelling of opleiding richting de student. _x000D_
_x000D_
In dit proces wordt gevraagd of er sprake is van een ondersteuningsbehoefte. Als dat het geval is, dan zal er later bij de instelling een uitgebreide intake plaatsvinden waarin die ondersteuningsbehoefte wordt bepaald en vastgelegd._x000D_
_x000D_
</t>
  </si>
  <si>
    <t xml:space="preserve">Resultaat_x000D_
* Aangemelde studenten (inclusief doorstroom)_x000D_
_x000D_
Vastgelegd in_x000D_
* Aanmelding als student in het student informatie systeem._x000D_
</t>
  </si>
  <si>
    <t>Aanmelden examen</t>
  </si>
  <si>
    <t>Examineren</t>
  </si>
  <si>
    <t>Examineren en diplomeren</t>
  </si>
  <si>
    <t xml:space="preserve">Na de beslissing dat de student toe is aan het examen(onderdeel), kan de aanmelding plaatsvinden. In bepaalde gevallen kan de student (extraneus) zonder onderwijs te volgen zich aanmelden voor een examen(onderdeel). Hierbij is geen sprake van besluitvorming door het ‘onderwijs’, maar bepaalt de student zelf of hij/zij wil deelnemen aan een examen(onderdeel). </t>
  </si>
  <si>
    <t>Aanmelden geroosterde activiteit</t>
  </si>
  <si>
    <t>Plannen en Roosteren</t>
  </si>
  <si>
    <t xml:space="preserve">In het gepubliceerde rooster kunnen leertaken zijn geroosterd waarvoor studenten zich kunnen aanmelden. Dit kan onderdeel zijn van hun persoonlijke leerroute._x000D_
_x000D_
De student moet zich actief aanmelden voor zo'n geroosterde module, bijvoorbeeld omdat er een maximum aantal studenten kan worden toegelaten, of omdat studenten aan bepaalde voorwaarden moeten voldoen._x000D_
</t>
  </si>
  <si>
    <t>Aanmelden keuzedelen</t>
  </si>
  <si>
    <t>Onderwijs en studenten administreren</t>
  </si>
  <si>
    <t xml:space="preserve">Tijdens de studieloopbaan maakt de student een keuze aan vakken uit keuzedelen. De gekozen vakken (keuzedelen) worden geadministreerd in het studentinformatiesysteem en vermeld bij de inschrijving._x000D_
_x000D_
</t>
  </si>
  <si>
    <t>Aanvragen erkenning leerbedrijf</t>
  </si>
  <si>
    <t>Matchen student en BPV plaats</t>
  </si>
  <si>
    <t>Student begeleiden</t>
  </si>
  <si>
    <t>Aanvragen verlof en bepalen werktijden</t>
  </si>
  <si>
    <t>Het verwerken van verlofaanvragen en bepalen van de werktijden</t>
  </si>
  <si>
    <t>Aanvragen vrijstelling</t>
  </si>
  <si>
    <t>In bepaalde gevallen kan op basis van bewijsstukken of eerder verworven competenties (EVC) een aanvraag voor een vrijstelling worden gedaan die kan leiden tot het verlenen van een vrijstelling.</t>
  </si>
  <si>
    <t>Afgeven mbo-verklaring</t>
  </si>
  <si>
    <t>Diplomeren en certificeren</t>
  </si>
  <si>
    <t>Een mbo-verklaring kan worden verstrekt aan studenten die – bij het verlaten van de opleiding- resultaten hebben gehaald waarvoor geen mbo-diploma of mbo-certificaat kan worden uitgereikt. De student moet een waardering hebben gehaald voor ten minste (een deel van) een onderdeel van de beroepsopleiding. Studenten jonger dan 23 jaar, die het mbo zonder startkwalificatie, diploma of certificaat verlaten, ontvangen een mbo-verklaring. Ook andere studenten krijgen een mbo-verklaring als ze erom vragen.</t>
  </si>
  <si>
    <t>Afhandelen beroep</t>
  </si>
  <si>
    <t>Het leveren van juridische ondersteuning zoals het afhandelen van beroepsprocedures.</t>
  </si>
  <si>
    <t>Afhandelen goederen</t>
  </si>
  <si>
    <t>Het verzorgen van de logisitiek van in- en uitgaande goederen</t>
  </si>
  <si>
    <t>Afhandelen klachten</t>
  </si>
  <si>
    <t>Het afhandelen van klachten door een klachtencommissie voor medewerkers en studenten aangaande gedragingen, overtredingen, besluiten over inschrijvingen, niet-toelating, besluiten aangaande functiewaardering, taaktoekenning e.d.</t>
  </si>
  <si>
    <t>Afhandelen niet planbare leerroutes</t>
  </si>
  <si>
    <t xml:space="preserve">Het kan voorkomen dat leerroutes (of delen ervan) ‘niet planbaar’ zijn doordat te weinig studenten hiervoor kiezen, er te weinig middelen beschikbaar zijn of omdat de gestelde randvoorwaarden door de student fricties opleveren met de randvoorwaarden van een opleidingsonderdeel of leertaak. Deze leerroutes zijn niet, of niet geheel in het rooster opgenomen._x000D_
_x000D_
Er wordt een oplossing gezocht voor de niet geplande leerroutes, al dan niet met aanpassing van de leervraag of de leerroute door bijvoorbeeld het kiezen van alternatieve opleidingsonderdelen of leertaken die in een komende periode wel worden aangeboden. </t>
  </si>
  <si>
    <t>Afsluiten periode</t>
  </si>
  <si>
    <t>Het afsluiten van en rapporteren over het afsluiten van een boekingsperiode</t>
  </si>
  <si>
    <t>Alloceren</t>
  </si>
  <si>
    <t>Het boekhoudkundig toekennen van kosten, inkomsten of uitgaven aan kostenplaatsen en/of in de boekhouding gedefinieerde projecten</t>
  </si>
  <si>
    <t>Alumni beheren</t>
  </si>
  <si>
    <t>Uitstroom</t>
  </si>
  <si>
    <t>Resultaat_x000D_
* Geïnformeerde en betrokken oud-studenten_x000D_
_x000D_
Vastgelegd in_x000D_
* Actuele alumni gegevens.</t>
  </si>
  <si>
    <t>Analyseren aan- en afwezigheid</t>
  </si>
  <si>
    <t xml:space="preserve">De registratie van gesignaleerde afwezigheid is een gedetailleerde registratie ten behoeve van de begeleiding. Vanuit deze gedetailleerde registratie wordt op een hoger aggregatieniveau de geanalyseerde aanwezigheid vastgelegd. </t>
  </si>
  <si>
    <t>Analyseren en beoordelen leerresultaten</t>
  </si>
  <si>
    <t>Onderwijs uitvoeren</t>
  </si>
  <si>
    <t>Resultaat_x000D_
* Beoordeelde (formatieve) leerresultaten van de student als input voor de begeleiding._x000D_
* Evaluatie van effectiviteit van ingezette lessen, toetsen e.d._x000D_
_x000D_
Vastgelegd in_x000D_
* Beoordeelde (formatieve) leerresultaten_x000D_
* Evaluatie van effectiviteit van ingezette lessen, toetsen e.d.</t>
  </si>
  <si>
    <t>Analyseren en evalueren contracten</t>
  </si>
  <si>
    <t>Het op gezette tijden analyseren en evalueren van lopende contracten en beoordelen of acties zoals het openbreken van het contract of het verlengen ervan nodig is</t>
  </si>
  <si>
    <t>Analyseren kwalificatie-structuur</t>
  </si>
  <si>
    <t>Ontwikkelen en voorbereiden onderwijs</t>
  </si>
  <si>
    <t>Onderwijs ontwikkelen</t>
  </si>
  <si>
    <t>Het kwalificatiedossier beschrijft de eisen waaraan een student moet voldoen om zijn/haar diploma te behalen. Elk dossier bevat één of meer kwalificaties en iedere kwalificatie leidt tot een diploma. Hoe beter de diploma-eisen aansluiten op de wensen van het bedrijfsleven, hoe groter de kans op een baan voor een beginnende beroepsbeoefenaar én hoe beter bedrijven hun vacatures kunnen vervullen. Alle kwalificatiedossiers samen, aangevuld met de keuzedelen, vormen de kwalificatiestructuur._x000D_
_x000D_
De kwalificatiestructuur wordt geanalyseerd in samenhang met de analyses van de arbeidsmarkt en de regionale opleidingsvraag. De businesscase van de opleiding wordt gebruikt, ook in relatie tot de omgeving. Er wordt bijvoorbeeld gekeken naar samenwerking en concurrentie met andere publieke en private mbo-scholen. Op basis van de uitkomst van deze totale analyse worden kwalificaties geselecteerd waarvoor opleidingen worden aangeboden.</t>
  </si>
  <si>
    <t>Analyseren kwalificatiedossier en keuzedelen</t>
  </si>
  <si>
    <t>Vertalen onderwijsvisie naar onderwijsaanbod</t>
  </si>
  <si>
    <t xml:space="preserve">Het kwalificatiedossier beschrijft de eisen waaraan een student moet voldoen om zijn/haar diploma te behalen. Het beschrijft wat de student gaat leren. Elk dossier bevat één of meer kwalificaties en iedere kwalificatie leidt tot een diploma. Hoe beter de diploma-eisen aansluiten op de wensen van het bedrijfsleven, hoe groter de kans op een baan voor een beginnende beroepsbeoefenaar én hoe beter bedrijven hun vacatures kunnen vervullen. _x000D_
_x000D_
Het kwalificatiedossier beschrijft:_x000D_
_x000D_
* De kerntaken, werkprocessen, kennis en vaardigheden van de kwalificatie._x000D_
* De generieke eisen voor Nederlandse taal, rekenen en eventueel Engels._x000D_
* De vereisten voor loopbaan en burgerschap._x000D_
* In keuzedelen ook (specifieke) kerntaken, werkprocessen en/of kennis en vaardigheden._x000D_
* De beschrijvingen van behoeften en wensen in het kader van eventueel verder leren._x000D_
_x000D_
Ten behoeve van de ontwikkeling of bijstelling van het opleidingsaanbod worden per opleiding het kwalificatiedossier en de relevante keuzedelen geanalyseerd om de leerdoelen vast te stellen. De leerdoelen zijn niet alleen gebaseerd op de kwalificatiedossiers, maar ook op de onderwijsvisie en de behoefte van de (regionale) arbeidsmarkt en potentiële studenten. De leerdoelen vormen de basis voor het onderwijs- en examenplan van een opleiding. Het aanbod aan keuzedelen wordt geanalyseerd met als doel de keuzedelen te selecteren waar studenten belangstelling voor hebben en die aansluiten bij de regionale opleidingsvraag. Deze keuzedelen hoeven niet gekoppeld te zijn aan het kwalificatiedossier waarvoor de opleiding opleidt. De keuzedelen worden in het onderwijs- en examenplan opgenomen. Een actueel overzicht van alle keuzedelen is te vinden op de site van de SBB._x000D_
</t>
  </si>
  <si>
    <t>Analyseren leerresultaten</t>
  </si>
  <si>
    <t>De leerresultaten geven uiteindelijk een inschatting van de slagingskans en kunnen gebruikt worden om te besluiten of de student klaar is voor deelname aan een examen(onderdeel). Deze formatieve leerresultaten hebben geen ‘status’ in de feitelijke examinering en zijn niet het soort bewijzen dat vereist is voor diplomering. De leerresultaten leiden tot een beslissing over deelname aan een examenonderdeel, dit proces kan gedurende de opleiding meermaals plaatsvinden. _x000D_
_x000D_
Dit wordt ook wel de 'Peilstok formatieve resultaten' genoemd.</t>
  </si>
  <si>
    <t>Analyseren middelen</t>
  </si>
  <si>
    <t xml:space="preserve">Op basis van het beoogde onderwijsaanbod wordt onderzocht of er voldoende faciliteiten aanwezig zijn. Hiertoe worden de huidige beschikbare faciliteiten geanalyseerd. _x000D_
_x000D_
Hierbij wordt gelet op:_x000D_
_x000D_
* Lokalen en ruimtes_x000D_
* Beschikbare ICT-middelen_x000D_
* Beschikbare beroepsgerichte middelen_x000D_
* Onderwijsondersteunende materialen_x000D_
_x000D_
Deze analyse wordt gebruikt in de jaarplanning._x000D_
</t>
  </si>
  <si>
    <t>Analyseren omgeving en arbeidsmarkt</t>
  </si>
  <si>
    <t>Onderzoeken behoefte (regionale) arbeidsmarkt</t>
  </si>
  <si>
    <t>Verbinding met maatschappij, bedrijfsleven en regio</t>
  </si>
  <si>
    <t xml:space="preserve">Voor zowel de mbo-school als de onderwijsteams is het belangrijk dat het onderwijs relevant blijft. Hier zijn zowel interne- als externe ontwikkelingen bepalend in._x000D_
_x000D_
De missie van de school, interne randvoorwaarden en externe randvoorwaarden, zoals wet- en regelgeving, inspectietoezicht en de kwalificatiestructuur, bepalen de kaders waarbinnen het onderwijs plaatsvindt. Ook zijn er ontwikkelingen in de omgeving die van invloed kunnen zijn op het onderwijsaanbod. Denk aan (innovatieve) initiatieven in de omgeving (vanuit de gemeente, bedrijven, provincie) of regionale of Europese projecten waarbij de opleiding kan aansluiten (en waar eventueel subsidie voor is), of aan regionale samenwerkingsverbanden die relevant zijn voor de opleiding._x000D_
_x000D_
Binnen de omgeving van de mbo-school is de arbeidsmarkt belangrijk: het onderwijs moet zo goed mogelijk aansluiten op de vraag en ontwikkelingen op de arbeidsmarkt._x000D_
_x000D_
Onderstaand proces kun je als team gebruiken bij het analyseren van de arbeidsmarkt:_x000D_
_x000D_
    Verzamel arbeidsmarktdata uit de regio en sector. Dit kan bijvoorbeeld via de website van de SBB of werk.nl. Ook bedrijven in de regio waar de mbo-school mee samenwerkt kunnen goede bronnen zijn._x000D_
    Breng de innovaties en ontwikkelingen die voor de opleiding relevant zijn in kaart_x000D_
    Verzamel informatie voor de betreffende regio over hoeveel studenten een opleiding volgen en wat hun perspectief is op de arbeidsmarkt_x000D_
    Onderzoek welke behoeftes er in de regio zijn in het kader van leven lang ontwikkelen_x000D_
    Vergelijk het aanbod van opleidingen met andere scholen in de regio en in Nederland_x000D_
_x000D_
</t>
  </si>
  <si>
    <t>Analyseren werkverdeling</t>
  </si>
  <si>
    <t>Prognosticeren mensen- en middelen-behoefte</t>
  </si>
  <si>
    <t>Tactisch inrichten; het team organiseren en ontwikkelen</t>
  </si>
  <si>
    <t xml:space="preserve">Op basis van de inschatting van het aantal toekomsige studenten en onderwijs wordt een analyse gemaakt voor de werkverdeling. Deze analyse weergeeft de inzet van de medewerkers ten opzichte van de verwachte onderwijsvraag._x000D_
_x000D_
Dit kan leiden tot:_x000D_
_x000D_
* Wijzigingen in het personeelsbestand_x000D_
* Wijzigingen in het onderwijsaanbod_x000D_
* Wijzigingen in de clustering van leertaken_x000D_
* Wijzigingen in de jaarplanning_x000D_
_x000D_
Deze analyse voedt en kent een wisselwerking met de jaarplanning._x000D_
</t>
  </si>
  <si>
    <t>Archiveren</t>
  </si>
  <si>
    <t>Het zorgdragen voor het metadateren en (laten) archiveren van documenten</t>
  </si>
  <si>
    <t>Autoriseren bestellingen</t>
  </si>
  <si>
    <t>Het proces van het verkrijgen van (veelal financiële) toestemming voor het doen van een bestelling</t>
  </si>
  <si>
    <t>Autoriseren verwerken facturering</t>
  </si>
  <si>
    <t>Het proces van het goedkeuren van het betalen van een ontvangen factuur door iemand die daartoe gemachtigd is.</t>
  </si>
  <si>
    <t>Bedrijfshulpverlening</t>
  </si>
  <si>
    <t>Het zorgdragen voor een bedrijfshulpverleningsorganisatie.  Denk aan BHV/EHBO middelen, werving en selectie BHV/EHBO medewerkers, trainingen/certificeringen</t>
  </si>
  <si>
    <t>Beeindigen contract en nazorg</t>
  </si>
  <si>
    <t>Het zorgdragen voor het correct beëindigen van een contract en de daaruitvoortvloeiende nazorg.</t>
  </si>
  <si>
    <t>Begeleiden en monitoren voortgang</t>
  </si>
  <si>
    <t xml:space="preserve">Resultaat_x000D_
* Inzicht in en bespreken van de voortgang van de student in zijn leerproces en ontwikkeling._x000D_
* Kansen (versnellen/doorstroom/excelleren) en risico’s signaleren zodat een optimale leertijd wordt gerealiseerd en/of risico op uitval of vertraging wordt voorkomen_x000D_
_x000D_
Vastgelegd in_x000D_
* Geanalyseerd en besproken voortgang vastgelegd in voortgangsverslag, (bindend) studieadvies, signaal voor starten zorgproces_x000D_
_x000D_
</t>
  </si>
  <si>
    <t>Begeleiden student</t>
  </si>
  <si>
    <t>Tijdens de opleiding wordt de student begeleid. Deze begeleiding vindt plaats tijdens alle onderwijsonderdelen die de student volgt op school en in de praktijk (BPV). De student heeft gedurende de opleiding te maken met verschillende begeleiders op school (docenten) en in de praktijk (praktijkopleiders). De student wordt begeleid bij het maken van loopbaankeuzes, keuzes voor keuzedelen, bpv en de uitvoering van leertaken. De begeleiding van de afzonderlijke begeleiders draagt bij aan de monitoring van de voortgang. Deze monitoring wordt uitgevoerd door de studieloopbaanbegeleider van de student.</t>
  </si>
  <si>
    <t>Begroten</t>
  </si>
  <si>
    <t>Het vaststellen van beschikbare financiële middelen en het toekennen en bewaken van daaruit voortvloeiende budgetten/begrotingen.</t>
  </si>
  <si>
    <t>Beheren activa en afschrijvingen</t>
  </si>
  <si>
    <t>Het financieel beheren van de bezittingen van de instelling zoals het beheren van afschrijvingen.</t>
  </si>
  <si>
    <t>Beheren afval</t>
  </si>
  <si>
    <t>Het zorgdragen voor het innemen en afvoeren van afval</t>
  </si>
  <si>
    <t>Beheren applicaties</t>
  </si>
  <si>
    <t>Het technisch en/of functioneel beheren van applicaties.</t>
  </si>
  <si>
    <t>Beheren applicaties en ICT voorzieningen</t>
  </si>
  <si>
    <t>Het zorgdragen voor het beheren van applicaties en ICT diensten zoals het beheren van de IT-infrastructuur, applicatiebeheer, werkplekbeheer, ondersteuning ICT en Leren</t>
  </si>
  <si>
    <t>Beheren Audio/visueel</t>
  </si>
  <si>
    <t>Het beheren van audio- en video-apparatuur en bijbehorende software. Denk (het uitlenen van) beamers, professionele opname-apparatuur (van lessen), geluidsapparatuur voor evenementen</t>
  </si>
  <si>
    <t>Beheren bekostiging</t>
  </si>
  <si>
    <t>Het (financieel) administreren van verkregen financiële Rijksbijdrage van het Ministerie Onderwijs, Cultuur en Wetenschap (OCW). Deze Rijksbijdrage is de lumpsum die afhankelijk is van het aantal studenten en het aantal behaalde diploma's. De gegevensuitwisseling met BRON vormt hierbij de grondslag.</t>
  </si>
  <si>
    <t>Beheren BPV bedrijfs gegevens</t>
  </si>
  <si>
    <t>Verwerven en onderhouden BPV-plaatsen</t>
  </si>
  <si>
    <t xml:space="preserve">SBB beheert de bedrijfsgegevens van erkende leerbedrijven en stelt deze beschikbaar aan de scholen._x000D_
_x000D_
Op basis daarvan onderhoudt de instelling een registratie van leerbedrijven. Het gaat om de registratie van de gegevens die van belang zijn voor:_x000D_
_x000D_
* Het matchingsproces (bijv. reisafstand)_x000D_
* De bekostiging_x000D_
* Het opstellen van de BPV-overeenkomst _x000D_
_x000D_
In het geval van een filiaal is er de mogelijkheid om een relatie te leggen met het moederbedrijf. De uitvoeringsrol en de werkgeversrol kunnen bij verschillende bedrijven zijn belegd. Denk daarbij aan het scenario met een uitzendbureau. De relatie BPV-bedrijf - detacheringsbedrijf wordt ook vastgelegd. </t>
  </si>
  <si>
    <t>Beheren BPV plaats</t>
  </si>
  <si>
    <t>Het is belangrijk dat de mbo-school een goede match maakt tussen de student en de BPV-plaats. Om dit te kunnen doen, voegt de mbo-school of het team relevante extra gegevens toe over de specifieke BPV-plaats aan de algemeen geregistreerde bedrijfsgegevens. Het gaat hier bijvoorbeeld over werkprocessen die de student bij de BPV-plaats kan leren en eventueel kan laten examineren. Ook specifieke kenmerken van de BPV-plaats die relateren aan de plaats in de leerroute van de student zijn relevant, en kunnen dus worden opgenomen.</t>
  </si>
  <si>
    <t>Beheren contracten</t>
  </si>
  <si>
    <t>Het bewaken van het verlopen van contracten en dit signaleren naar de betrokkenen</t>
  </si>
  <si>
    <t>Beheren crediteuren</t>
  </si>
  <si>
    <t>Beheren debiteuren</t>
  </si>
  <si>
    <t>Het registreren van debiteuren en er voor zorgen dat debiteuren openstaande vorderingen betalen</t>
  </si>
  <si>
    <t>Beheren digitale toegang en rechten</t>
  </si>
  <si>
    <t>Het beheren van de toegang tot en rechten in digitale systemen zoals een RBAC oplossing</t>
  </si>
  <si>
    <t>Beheren documenten</t>
  </si>
  <si>
    <t>Het beheren van documenten zoals het registreren van gemaakte verslagen, besluiten, metadateren t.b.v. bewaartermijnen en zoekfuncties, toekennen vertrouwelijksheidsklassen</t>
  </si>
  <si>
    <t>Beheren en leveren facilitaire diensten</t>
  </si>
  <si>
    <t>Het beheren en leveren van facilitaire diensten zoals catering, kluisjes beheer, meubilair, servicedesk</t>
  </si>
  <si>
    <t>Beheren en organiseren personeel</t>
  </si>
  <si>
    <t>Het administreren van HRM-gegevens van medewerkers.</t>
  </si>
  <si>
    <t>Beheren examendossier</t>
  </si>
  <si>
    <t>Het (tijdelijk) bewaren van gemaakte examens en het bewaren van beoordelingen en bewijsstukken ten behoeve van een diplomabesluit.​</t>
  </si>
  <si>
    <t>Beheren examens</t>
  </si>
  <si>
    <t>Het ontvangen en bewaren van geconstrueerde examens in een beveiligde kluis en het beschikbaar stellen op het examenmoment. ​</t>
  </si>
  <si>
    <t>Beheren formatieve resultaat structuur</t>
  </si>
  <si>
    <t xml:space="preserve">Opbouwen en onderhouden van een structuur waarin formatieve resultaten gestructureerd kunnen worden vastgelegd zodat op basis daarvan de voortgang gevolgd kan worden._x000D_
_x000D_
De formatieve resultatenstructuur is een structuur voor de geordende vastlegging van formatieve resultaten._x000D_
_x000D_
Per opleidingsonderdeel kunnen één of meerdere resultatenstructuren worden gemaakt. Elke resultatenstructuur bestaat uit een aantal toetsen waarvoor resultaten geregistreerd kunnen worden en een berekeningswijze, om tot een eindresultaat voor het geheel te komen. Bij elke toets wordt gedefinieerd op welke schaal het resultaat geregistreerd kan worden._x000D_
_x000D_
Elke toets kan gerelateerd worden aan één of meerdere onderdelen van de kwalificatiestructuur._x000D_
</t>
  </si>
  <si>
    <t>Beheren gebouw inrichting</t>
  </si>
  <si>
    <t>Het zorgdragen voor het onderhouden en inrichten van de faciliteiten van de gebouwen van de instelling. Denk aan:  Indeling, Zones, looproutes, Parkeren, Vergaderruimten, Kolfruimten, Klimaatbeheer, Presentatie-units, Evenementenmaterialen</t>
  </si>
  <si>
    <t>Beheren gebouwen</t>
  </si>
  <si>
    <t>Het beheren van gebouwen zoals het vastgoedbeheer, verbouwingen, onderhoud, beheren inrichting e.d.</t>
  </si>
  <si>
    <t>Beheren grootboek</t>
  </si>
  <si>
    <t>Het beheren van de balans van de organisatie</t>
  </si>
  <si>
    <t>Beheren ICT werkplek</t>
  </si>
  <si>
    <t>Het beheren van ICT-werkplekapparatuur. Denk aan laptops, PC's, smartphones en randapparatuur.</t>
  </si>
  <si>
    <t>Beheren ICT-infrastructuur</t>
  </si>
  <si>
    <t>Het beheren van de ICT-infrastructuur zoals het netwerk, opslagsystemen en servers</t>
  </si>
  <si>
    <t>Beheren kantoorartikelen &amp; bedrijfskleding</t>
  </si>
  <si>
    <t>Het leveren van kantoorartikelen en bedrijfskleding</t>
  </si>
  <si>
    <t>Beheren kluisjes</t>
  </si>
  <si>
    <t>Het ter beschikkingstellen en beheren van kluisjes</t>
  </si>
  <si>
    <t>Beheren liquiditeiten</t>
  </si>
  <si>
    <t>Het beheren van de financiële situatie van de instelling, zodat het aan zijn korte termijnverplichtingen kan voldoen</t>
  </si>
  <si>
    <t>Beheren maatwerkgelden</t>
  </si>
  <si>
    <t>Het (financieel) administreren van verkregen gelden in het kader van Lang Leven Ontwikkelen (LLO). De MBO-instelling factureert het geven van onderwijs op maat aan de opdrachtgever. Deze gelden zijn een inkomstenbron voor de MBO-instelling ter financiering van onderwijs voor het verder ontwikkelen van mensen op de arbeidsmarkt.</t>
  </si>
  <si>
    <t>Beheren overige balans-rekeningen</t>
  </si>
  <si>
    <t>Het registreren en beheren van balansrekeningen (overzichten van bezittingen, schulden en het eigen vermogen van de instelling)</t>
  </si>
  <si>
    <t>Beheren relaties</t>
  </si>
  <si>
    <t>Het opbouwen en onderhouden van contacten met (potentiële) leveranciers</t>
  </si>
  <si>
    <t>Beheren rooster wijzigingen</t>
  </si>
  <si>
    <t xml:space="preserve">Er zijn situaties denkbaar dat het rooster veranderd moet worden ook al is dit vastgesteld voor een bepaalde periode.  Om dit probleem op te lossen kan het rooster of de inzet van middelen worden aangepast.  Wjzigingen worden tijdig doorgegeven en verwerkt zodat studenten en docenten tijdig geïnformeerd worden._x000D_
_x000D_
Dit kan het gevolg zijn van een uitvoeringsprobleem, zoals:_x000D_
* Ziekte van een docent_x000D_
* Een docent is plotseling verhinderd of niet beschikbaar_x000D_
* Een stageplaats is toch niet beschikbaar_x000D_
* Noodzakelijke apparatuur (zoals PC''s) zijn niet tijdig geleverd _x000D_
* Wijzigingen in student-, klas- of groepssamenstellingen_x000D_
* Wijzigingen in faciliteiten_x000D_
_x000D_
Dit kan ook het gevolg zijn van een calamiteit, een onvoorziene omstandigheid. Dit kan qua omvang en impact zeer divers zijn, denk aan:_x000D_
* Een docent is plotseling langdurig afwezig_x000D_
* Alle PC's zijn uit een lokaal gestolen_x000D_
* Brand of lekkage_x000D_
</t>
  </si>
  <si>
    <t>Beheren sleutels, pasjes, tokens</t>
  </si>
  <si>
    <t>Het beheren van sleutels, pasjes, tokens zoals de uitgifte en inname ervan en het bepalen van de toegangsrechten</t>
  </si>
  <si>
    <t>Beheren subsidiestromen</t>
  </si>
  <si>
    <t>Het (financieel) administreren van verkregen subsidies en de besteding ervan</t>
  </si>
  <si>
    <t>Beheren summatieve resultaat structuur</t>
  </si>
  <si>
    <t>Opbouwen en onderhouden van een structuur waarin summatieve resultaten gestructureerd kunnen worden vastgelegd zodat op basis daarvan de voortgang gevolgd kan worden m.b.t. diplomering. In de summatieve resultaatstructuur worden examenonderdelen en examens vastgelegd._x000D_
_x000D_
BESCHRIJVING VAN HET PROCES:_x000D_
1. Ontvangen van de examenonderdelen en examenplannen van het onderwijs._x000D_
2. Registreren van de examenonderdelen en examenplannen in de summatieve resultaatstructuur in het studentinformatiesysteem._x000D_
3. Controleren van de juistheid en volledigheid van de summatieve resultaatstructuur._x000D_
4. Vrijgeven van de summatieve resultaatstructuur t.b.v. diplomeren en certificeren.</t>
  </si>
  <si>
    <t>Beheren van gegevens</t>
  </si>
  <si>
    <t>Het zorgdragen voor het integraal verzamelen, metadateren, beheren en beschikbaarstellen van gegevens voor de informatievoorziening op veelal tactisch en strategisch niveau. Dit manifesteert zich in bijv. gegevenswoordenboeken, informatiemodellen en in BI-systemen of een datawarehouse</t>
  </si>
  <si>
    <t>Beheren vastgoed</t>
  </si>
  <si>
    <t>Het beheren van het vastgoed van de instelling. Denk aan toezien op gebruik, vergunningen, inspecties, duurzaamheid, huren, verhuren, kopen, afstoten</t>
  </si>
  <si>
    <t>Beheren vermogen</t>
  </si>
  <si>
    <t>Het beheren en/of optimaliseren van het vermogen van de instelling. Denk aan rederende investeringen.</t>
  </si>
  <si>
    <t>Beheren verzekeringen</t>
  </si>
  <si>
    <t>Beheren werktijden, verlof en verzuim</t>
  </si>
  <si>
    <t>Het voeren van de verlof- en verzuimadministratie en het ondersteunen bij langdurig verzuim en reïntegreren van medewerkers</t>
  </si>
  <si>
    <t>Beoordelen bewijsstukken</t>
  </si>
  <si>
    <t>Als de bewijzen verzameld zijn, worden deze objectief en onafhankelijk beoordeeld om vast te stellen of daarmee aan de exameneisen is voldaan.</t>
  </si>
  <si>
    <t>Beoordelen BPV</t>
  </si>
  <si>
    <t>De student kan alleen het diploma behalen als BPV voldoende is afgerond. De mbo-school en de begeleider vanuit school zijn verantwoordelijk voor deze beoordeling. Het oordeel van de praktijkopleider vanuit het BPV-bedrijf moet hierin worden meegenomen.</t>
  </si>
  <si>
    <t>Beoordelen examen</t>
  </si>
  <si>
    <t xml:space="preserve">Tijdens en na de uitvoering van het examen wordt door één of meerdere beoordelaars beoordeeld of de student aan de exameneisen voldoet. Dit gebeurt op basis van vaste procedure met gebruik van het exameninstrument en het beoordelingsformulier._x000D_
_x000D_
MOGELIJKE PROCESSTAPPEN_x000D_
_x000D_
* Bekijk de prestatie(s) van de individuele student en maak hiervan aantekeningen._x000D_
* Bespreek en vergelijk uw waarnemingen met de (eventuele) mede-beoordelaar._x000D_
* Vul de beoordelingsformulieren in._x000D_
* Stel een proces-verbaal op over het verloop van het examen._x000D_
* Koppel de (voorlopige) beoordeling terug aan de student. Let op: de examencommissie stelt het definitieve oordeel vast._x000D_
* Rapporteer de bevindingen aan de examencommissie_x000D_
* Kijk terug op het proces van het beoordelen. Benoem en beschrijf wat er goed gaat en leg verbeterpunten vast._x000D_
</t>
  </si>
  <si>
    <t>Beoordelen functioneren</t>
  </si>
  <si>
    <t>Het beoordelen van het functioneren van medewerkers en het nemen van passende maatregelen</t>
  </si>
  <si>
    <t>Bepalen benodigd examen materiaal</t>
  </si>
  <si>
    <t>Vaststellen en uitwerken examinering</t>
  </si>
  <si>
    <t xml:space="preserve">Voor het vastgestelde aanbod aan opleidingen bepalen school en team jaarlijks wat nodig is aan examenmateriaal. Het team bepaalt jaarlijks -- mede op basis van de eigen verbeteragenda -- of er aanpassing en aanvulling of vernieuwing moet plaatsvinden. </t>
  </si>
  <si>
    <t>Bepalen benodigde BPV plaatsen</t>
  </si>
  <si>
    <t>Voor het vastgestelde aanbod aan opleidingen bepalen school en team jaarlijks wat nodig is aan benodigde BPV-plaatsen. Het team bepaalt jaarlijks -- mede op basis van de eigen verbeteragenda -- of er aanpassing en aanvulling of vernieuwing moet plaatsvinden.</t>
  </si>
  <si>
    <t>Bepalen benodigde faciliteiten</t>
  </si>
  <si>
    <t>Bepalen benodigde inzet van mensen en leermiddelen</t>
  </si>
  <si>
    <t>Voor het vastgestelde aanbod aan opleidingen bepalen school en team jaarlijks wat nodig is aan generieke faciliteiten (zoals theorie- en praktijkruimtes). Het team bepaalt jaarlijks -- mede op basis van de eigen verbeteragenda -- of er aanpassing en aanvulling of vernieuwing moet plaatsvinden.</t>
  </si>
  <si>
    <t>Bepalen benodigde inzet van mensen en middelen</t>
  </si>
  <si>
    <t xml:space="preserve">Resultaat:_x000D_
* Beschikbare leermiddelen (lesmaterialen, faciliteiten, e.d.) die benodigd zijn voor de uitvoering van de leertaken._x000D_
_x000D_
Vastgelegd in:_x000D_
* Leertaken met de daarbij noodzakelijke lesmaterialen, faciliteiten, e.d. (logistiek)._x000D_
</t>
  </si>
  <si>
    <t>Bepalen benodigde leermiddelen</t>
  </si>
  <si>
    <t>Voor het vastgestelde aanbod aan opleidingen bepalen school en team jaarlijks wat nodig is aan leermateriaal. Het team bepaalt jaarlijks -- mede op basis van de eigen verbeteragenda -- of er aanpassing en aanvulling of vernieuwing moet plaatsvinden.</t>
  </si>
  <si>
    <t>Bepalen benodigde mensen</t>
  </si>
  <si>
    <t>Voor het vastgestelde aanbod aan opleidingen bepalen school en team jaarlijks welke personele inzet nodig is. Het team bepaalt jaarlijks - mede op basis van de eigen verbeteragenda - of er aanpassing aan de capaciteit, kennis en competenties in het team nodig is.</t>
  </si>
  <si>
    <t xml:space="preserve">Bepalen beveiligings maatregelen </t>
  </si>
  <si>
    <t>Het zorgdragen voor de beveiligingsfunctie (denk aan het saMBO-ICT BP framework) en (meer concreet) het bepalen van de gewenste mate van beveiling van processen, ICT-systemen (risico-analyses, BIV-coderingen)</t>
  </si>
  <si>
    <t>Bepalen diploma of certificaat recht</t>
  </si>
  <si>
    <t>Nagaan of een student mogelijkerwijs voor een kwalificerend document in aanmerking komt. Doel is te bepalen of een student recht heeft op kwalificerende documenten, zodat voorkomen wordt dat de student zonder de documenten waar hij recht op heeft, wordt uitgeschreven. Het kan hier om elke vorm van kwalificerende document gaan, zoals een diploma, certificaat of mbo-verklaring._x000D_
_x000D_
Resultaten zijn:_x000D_
_x000D_
* Er is vastgesteld welke kwalificerende documenten voor de betreffende deelnemer kunnen worden aangemaakt, inclusief de bijbehorende gegevens;_x000D_
* er wordt geen student uitgeschreven zonder de kwalificerende documenten waar de student recht op heeft._x000D_
_x000D_
BESCHRIJVING VAN HET PROCES:_x000D_
_x000D_
1. Ontvangen van de vastgestelde examenresultaten._x000D_
2. Bepalen of de student recht heeft op een gekwalificeerd document op basis van de examenresultaten en summatieve resultaatstructuur._x000D_
3. Vormen van een examendossier._x000D_
4. Beslissen of de student wordt voorgedragen om te worden gekwalificeerd.</t>
  </si>
  <si>
    <t>Bepalen formatielasten</t>
  </si>
  <si>
    <t>Het vaststellen en registreren van de (kosten van) de formatie van (afdelingen van) de instelling</t>
  </si>
  <si>
    <t>Bepalen leerroute</t>
  </si>
  <si>
    <t>Resultaat:_x000D_
* Optimale leerroute voor de student o.b.v. zijn leervraag  en mogelijkheden. Tevens zijn (onderwijs)vrijstellingen bepaald._x000D_
_x000D_
Vastgelegd in:_x000D_
* Vrijstellingen (voor onderwijs)_x000D_
* Vastgestelde en vastgelegde leerroute</t>
  </si>
  <si>
    <t>Bepalen materieel/materiaal</t>
  </si>
  <si>
    <t>Het vaststellen en registreren van de begroting van materieel/materiaal</t>
  </si>
  <si>
    <t>Bepalen start/stop opleiding</t>
  </si>
  <si>
    <t>Bepalen van de start of stop-datum waarop een opleiding formeel in het aanbod van de instelling is opgenomen. Instellingen voor middelbaar beroepsonderwijs moeten sinds 2016 het voornemen tot het starten of beëindigen van beroepsopleidingen melden.</t>
  </si>
  <si>
    <t>Beslissen over examen aanvraag</t>
  </si>
  <si>
    <t xml:space="preserve">Wanneer de student één of meerdere leertaken heeft afgerond wordt besloten of de student dit met het bijbehorend examen kan afsluiten. In dit proces wordt op basis van de leerresultaten besloten of de student toe is aan het examen. Bij positief besluit wordt de examenaanvraag gedaan._x000D_
_x000D_
Belangrijk uitgangspunt is dat studenten voldoende voorbereid en geëquipeerd aan een examen beginnen. Dit verhoogt de slagingskans. Ook sluit dit aan bij de heersende opvatting dat examinering de bevestiging is van al ontwikkelde vaardigheden, houding en kennis. </t>
  </si>
  <si>
    <t>Besluiten inkopen of construeren</t>
  </si>
  <si>
    <t xml:space="preserve">Nadat een mbo-school de keuze heeft gemaakt om een opleiding te starten, herzien of herijken (al dan niet als vast onderdeel van de pdca-cyclus), neemt de school de beslissing over het inkopen of in eigen beheer construeren van de examens._x000D_
_x000D_
BESCHRIJVING PROCESSTAPPEN_x000D_
_x000D_
* Verzamel eventueel al bestaand(e) beleid of visie op inkopen of zelf construeren._x000D_
* Neem kennis van de wijze waarop de Inspectie van het Onderwijs omgaat met het beoordelen van ingekochte examens. Raadpleeg bijvoorbeeld het document Aanpak beoordeling ingekochte exameninstrumenten en -diensten in 2012, oktober 2011._x000D_
* Bekijk het examenplan._x000D_
* Bespreek de voor- en nadelen van de keuzemogelijkheden. Gebruik hierbij het servicedocument Aandachtspunten inkoop, zelf of samen construeren._x000D_
* Verken de (on)mogelijkheden van het inkopen dan wel zelf construeren. Gebruik hierbij eventueel het Kostenmodel examinering._x000D_
* Maak een keuze over welke examens de opleiding inkoopt, welke deze in eigen beheer construeert en welke deze in samenwerking ontwikkelt. Leg de keuze vast._x000D_
* Evalueer het proces om te komen tot een beslissing. Zijn de juiste mensen betrokken geweest, hebben we onszelf de juiste vragen gesteld en hoe verliep het keuzeproces? Benoem en beschrijf wat er goed ging en welke verbeterpunten er zijn. Rapporteer de bevindingen aan de examencommissie. Verzamel en registreer deze bevindingen._x000D_
</t>
  </si>
  <si>
    <t>Besluiten om te diplomeren of certificeren</t>
  </si>
  <si>
    <t xml:space="preserve">Op basis van het examenresultaat en de aangeleverde bewijsstukken conform het examenplan (inclusief eventuele vrijstellingen) stelt de examencommissie vast of de student aan de eisen voor het diploma of ander kwalificerende document heeft voldaan. Op basis van deze vaststelling volgt een besluit over de diplomering: _x000D_
* als dit besluit positief is, kan de mbo-school overgaan tot diplomeren, certificeren of toekennen van een andere kwalificerend document_x000D_
* als dit besluit negatief is, moet de student de ontbrekende bewijsstukken alsnog aanleveren._x000D_
Er kan worden volstaan met de vaststelling. Scholen kunnen zelf besluiten om in hun schooleigen omgeving een document op te nemen dat hiervan de gegevens vastlegt._x000D_
_x000D_
BESCHRIJVING VAN HET PROCES:_x000D_
1. Ontvangen van de lijst van voorgedragen studenten en het desbetreffende examendossier._x000D_
2. Uitvoeren (steeksproefsgewijs) van een controle op de juistheid en volledigheid van de examendossiers en voordracht._x000D_
3. Besluiten tot wel of niet kwalificeren van de voorgedragen student._x000D_
4. Vaststellen van het besluit tot kwalificeren._x000D_
5. Informeren van de student over het besluit tot kwalificeren._x000D_
</t>
  </si>
  <si>
    <t>Bestellen</t>
  </si>
  <si>
    <t>Het bestellen goederen of diensten</t>
  </si>
  <si>
    <t>Betalen</t>
  </si>
  <si>
    <t>Het zorgdragen voor het feitelijk betalen voor geleverde diensten of goederen</t>
  </si>
  <si>
    <t>Betalen kas/creditkaart/debit-card</t>
  </si>
  <si>
    <t>Het faciliteren, autoriseren en registreren van het doen van betalingen zoals met contant geld of een betaalpas</t>
  </si>
  <si>
    <t>Betrekken alumni bij verzorgen onderwijs</t>
  </si>
  <si>
    <t>Beveiligen</t>
  </si>
  <si>
    <t>Het zorgdragen voor beveiligen van ruimten, middelen, ICT-systemen en mensen</t>
  </si>
  <si>
    <t>Beveiligen ICT omgeving</t>
  </si>
  <si>
    <t>Het zorgdragen voor de beschikbaarheid, integriteit en vertrouwelijkheid van geautomatiseerde systemen</t>
  </si>
  <si>
    <t>Bewaken contracten en prestatie afspraken</t>
  </si>
  <si>
    <t xml:space="preserve">Het controleren/monitoren van het voldoen van een leverancier aan diens contract- en prestatie-afspraken </t>
  </si>
  <si>
    <t>Bewaken gebouwen</t>
  </si>
  <si>
    <t>Het zorgdragen voor het bewaken van gebouwen zoals camera's, bewegingsdetectoren, centrale meldkamer, beveiligingsdienst</t>
  </si>
  <si>
    <t>Beëindigen inschrijving</t>
  </si>
  <si>
    <t>Uitschrijven</t>
  </si>
  <si>
    <t>Beëindigen van de inschrijving waarmee de juridische verhouding tussen student en instelling wordt beeïndigd.</t>
  </si>
  <si>
    <t>Beëindiging arbeidscontract</t>
  </si>
  <si>
    <t>Het beëindigen van het arbeidscontract. Dit kan zijn als gevolg van het verlopen van het een contract voor bepaalde tijd, het voortijdig beëindigen van een arbeidscontract als gevolg van ontslag of op verzoek van de werknemer.</t>
  </si>
  <si>
    <t>Borgen (onderwijs)kwaliteit en wetgeving</t>
  </si>
  <si>
    <t>Borgen (onderwijs) kwaliteit en wetgeving</t>
  </si>
  <si>
    <t>Strategie, beleid en sturing</t>
  </si>
  <si>
    <t>Resultaat_x000D_
* De organisatie voldoet aan de (benoemde) kwaliteitseisen en wetgeving._x000D_
_x000D_
Vastgelegd in_x000D_
* Kwaliteitsplan of  -agenda</t>
  </si>
  <si>
    <t>BPV begeleiden</t>
  </si>
  <si>
    <t>Verzorgen onderwijs</t>
  </si>
  <si>
    <t>Het begeleiden van de student door de BPV-begeleider van de school</t>
  </si>
  <si>
    <t>BTW/IB47</t>
  </si>
  <si>
    <t>Het zorgdragen voor de BTW-aangifte en het opgeven van betalingen aan derden, aan de belastingdienst</t>
  </si>
  <si>
    <t>Checken erkenning leerbedrijf</t>
  </si>
  <si>
    <t xml:space="preserve">Studenten mogen alleen BPV uitvoeren bij een bedrijf dat een erkenning heeft van SBB. Voor aanvang van elke BPV controleert de school of een BPV-bedrijf erkend is. Wanneer dat niet het geval is, vraagt het bedrijf erkenning aan bij SBB. Mocht het leerbedrijf onverhoopt niet erkend (kunnen) worden dan wordt het proces Matchen BPV opnieuw gestart._x000D_
</t>
  </si>
  <si>
    <t>Clusteren leeractiviteiten</t>
  </si>
  <si>
    <t>Het clusteren van leeractiviteiten is het samen nemen van verschillende leeractiviteiten die in een periode gelijktijdig/naast elkaar uitgevoerd zullen worden. Dit is nodig om het onderwijs te kunnen organiseren en zowel medewerkers als voorzieningen efficiënt te kunnen inzetten. Deze processtap is een belangrijke schakel in de overgang van meerjarenplanning naar jaarplanning en concrete roosters._x000D_
_x000D_
Per opleiding vormen alle leeractiviteiten, gecombineerd tot opleidingsonderdelen, samen het onderwijsaanbod van die opleiding, over meerdere perioden en jaren heen. Er hoort een meerjarenplanning bij._x000D_
_x000D_
Leerroutes van studenten zijn opgebouwd uit opleidingsonderdelen. Deze opleidingsonderdelen bestaan uit leeractiviteiten die moeten worden gepland, soms parallel en soms opvolgend, ook over een langere periode._x000D_
De meerjarenplanning en de gekozen leerroutes van de studenten samen vormen nog geen geordend geheel dat in de vorm van roosters en planningen kan worden gegoten. De leeractiviteiten worden geclusterd in periodes waardoor er een geordend geheel ontstaat. De clustering van leeractiviteiten heeft invloed op de jaarplanning en de analyse van de werkverdeling.</t>
  </si>
  <si>
    <t>Consolideren</t>
  </si>
  <si>
    <t>Het samenvoegen van activa, passiva, baten en lasten van de instelling in één balans</t>
  </si>
  <si>
    <t>Construeren examens</t>
  </si>
  <si>
    <t xml:space="preserve">De mbo-school heeft besloten om (een deel van de) examens in eigen beheer te construeren._x000D_
_x000D_
BESCHRIJVING PROCESSTAPPEN_x000D_
_x000D_
* Bepaal welke constructeurs de school inzet voor het construeren van de examens uit het examenplan. Gebruik de BET Examentoetsen construeren om de taak van de constructeurs te verduidelijken en een duidelijke opdracht te formuleren._x000D_
* Stel een plan op voor het construeren (en vaststellen) van de examens. Gebruik hierbij het servicedocument Jaarplanning construeren en vaststellen._x000D_
* Verstrek een duidelijke opdracht aan de constructeur(s)._x000D_
* Verzamel relevante in- en externe documenten. Dat zijn in ieder geval: de landelijke kaders (normenbundel exameninstrumenten, het kwalificatiedossier en het sectorale examenprofiel), het examenplan en de examenvisie._x000D_
* Stel een toetsmatrijs op. Gebruik hierbij eventueel het servicedocument Format toetsmatrijs pvb/praktijktoets of het servicedocument Format toetsmatrijs schriftelijk examen._x000D_
* Laat de examencommissie de toetsmatrijs vaststellen._x000D_
* Ontwikkel het examen, inclusief opdrachten/vragen, antwoordmodel, instructie voor de studenten, organisatoren en beoordelaars. Gebruik in het geval van een proeve van bekwaamheid het servicedocument Construeren van een pvb in acht stappen._x000D_
* Dien het examen in ter vaststelling._x000D_
* Evalueer het constructieproces, de kwaliteit van de formats, het verloop van het proces en de (eigen) deskundigheid van de constructeurs. Benoem en beschrijf wat er goed ging en welke verbeterpunten er zijn. Rapporteer de bevindingen aan de examencommissie. Verzamel en registreer deze bevindingen._x000D_
</t>
  </si>
  <si>
    <t>Contracten beheren en bewaken</t>
  </si>
  <si>
    <t>Het afsluiten van, beheren van en evalueren van contracten met leveranciers en het beheren van leveranciersrelaties</t>
  </si>
  <si>
    <t>Declareren onkosten en vergoedingen</t>
  </si>
  <si>
    <t>Het verwerken van onkostenvergoedingen en declaraties</t>
  </si>
  <si>
    <t>Definieren onderwijs-programma</t>
  </si>
  <si>
    <t xml:space="preserve">Het definiëren en vastleggen van een onderwijsprogramma. Een onderwijsprogramma is een planbaar geheel van beschikbare opleidingsonderdelen, met daarbij aanvullende informatie over de volgorde of periode waarin het product moet worden afgenomen. Het onderwijsprogramma staat model voor de persoonlijke leerroute van een student. </t>
  </si>
  <si>
    <t>Definiëren opleidings onderdelen</t>
  </si>
  <si>
    <t>Het definiëren en vastleggen van de opleidingsonderdelen waaruit een opleidingsprogramma bestaat. Een opleidingsonderdeel is een onderscheidbaar geheel van kennis, inzicht en vaardigheden, dat onderdeel kan zijn van één of meer opleidingen._x000D_
_x000D_
Een opleidingsonderdeel is een afgerond geheel binnen een onderwijsprogramma en kan wordt afgesloten met een examen._x000D_
De persoonlijke leerroute kan worden samengesteld uit opleidingsonderdelen.</t>
  </si>
  <si>
    <t>Delen van vakkennis en ontwikkelingen</t>
  </si>
  <si>
    <t>Resultaat_x000D_
* Check diplomadossier_x000D_
* Student die kan aantonen over de vaardigheden te beschikken waarvoor hij/zij examen heeft afgelegd._x000D_
_x000D_
Vastgelegd in_x000D_
* Uitgereikte en centraal geregistreerde diploma/certificaat of MBO-verklaring</t>
  </si>
  <si>
    <t>Diplomeren/certificeren</t>
  </si>
  <si>
    <t>Zodra de examencommissie van de mbo-school heeft vastgesteld dat alle resultaten van alle examenonderdelen aan de gestelde diploma- en exameneisen (de slaag-/zakregelingen) van de betreffende kwalificatie voldoen, reikt de commissie een diploma (of ander kwalificerend document) uit met een bijbehorende resultatenlijst. Wanneer de kandidaat in voldoende mate aan de eisen heeft voldaan, mag de examencommissie van de school het kwalificerend document uitreiken._x000D_
_x000D_
BESCHRIJVING VAN HET PROCES:_x000D_
1. Aanmaken van het kwalificerende document (diploma, certificaat, mbo-verklaring etc.) op basis van het besluit over kwalificatie._x000D_
2. Uitprinten van het kwalificerende document (op waterkenmerk papier)_x000D_
3. Ondertekenen van het kwalificerende document door de Examencommissie en onderwijsinstelling._x000D_
4. Uitreiken van het kwalificerende document aan de student._x000D_
5. Laten ondertekenen van het kwalificerende document door de student._x000D_
6. Archiveren van het kwalificerende document en het examendossier in het student informatiesysteem._x000D_
7. Geven van het verzoek tot uitschrijven van de student.</t>
  </si>
  <si>
    <t>Eindgesprek BPV</t>
  </si>
  <si>
    <t>De evaluatie van de BPV-periode vindt plaats tijdens het eindgesprek. Hierbij zijn de student, de praktijkbegeleider en de begeleider vanuit school aanwezig. Tijdens het eindgesprek kan onder andere worden gesproken over de beroeps- en werkhouding, het behalen van leerdoelen, en de resultaten van de BPV-opdrachten.</t>
  </si>
  <si>
    <t xml:space="preserve">Resultaat_x000D_
* (Wettelijke) protocollen/voorwaarden m.b.t. vrijstelling, aanvraag examens, inkoop examens, hulpmiddelen, examencondities, ed._x000D_
* Student die heeft bewezen dat hij/zij de vaardigheden bezit om de taak uit te voeren waarover hij/zij examen heeft afgelegd._x000D_
_x000D_
Vastgelegd in_x000D_
* Handboek examinering_x000D_
* Exameninstrument_x000D_
* Afgenomen en beoordeeld examen _x000D_
* Vastgestelde examenresultaten (examencommissie)_x000D_
</t>
  </si>
  <si>
    <t>Extern communiceren</t>
  </si>
  <si>
    <t>Het adviseren over en ondersteunen bij externe communicatie zoals de inrichting van de openbare website, social media-uitingen, organiseren evenementen, voorlichtingsavonden</t>
  </si>
  <si>
    <t>Extern communiceren onderwijs aanbod</t>
  </si>
  <si>
    <t>Informeren en werven</t>
  </si>
  <si>
    <t>Door middel van open dagen, informatie op de websites, brochures en ander voorlichtingsmateriaal worden aspirant-studenten geïnformeerd over de opleidingsmogelijkheden op de mbo-school._x000D_
_x000D_
De volgende stappen kunnen hierbij worden doorlopen._x000D_
_x000D_
* Ontwikkelen van voorlichtingsmateriaal over de opleidingsmogelijkheden binnen de onderwijsinstelling in de vorm van brochures, flyers, informatie via websites._x000D_
* Plannen van voorlichtingsbijeenkomsten._x000D_
* Inlichten van decanen van vo-scholen in de regio over het opleidingsaanbod en de voorlichtingsbijeenkomsten.</t>
  </si>
  <si>
    <t>Extern verantwoorden</t>
  </si>
  <si>
    <t xml:space="preserve">Het zorgdragen voor rapportages (verantwoordingsgegevens) voor de partijen die daar recht op hebben. _x000D_
_x000D_
Vastgelegd in_x000D_
* Inspectierapporten_x000D_
* Accountantsverklaring_x000D_
* Jaarverslagen_x000D_
* Overzicht en uitleg vroegtijdig schoolverlaters'_x000D_
* etc._x000D_
</t>
  </si>
  <si>
    <t>Factureren</t>
  </si>
  <si>
    <t>Het proces van het sturen van een factuur door de instelling</t>
  </si>
  <si>
    <t>Financieel verantwoorden</t>
  </si>
  <si>
    <t>Het formeel verantwoording afleggen over de financiële situatie van de instelling. Denk aan de jaarrekening, BTW/IB47 overzichten, consolidaties, subsidieoverzichten</t>
  </si>
  <si>
    <t>Forecast, Bijstellen begroting</t>
  </si>
  <si>
    <t>Het bijstellen van bestaande begrotingen a.d.h.v. ontwikkelingen</t>
  </si>
  <si>
    <t>Formuleren leervraag</t>
  </si>
  <si>
    <t xml:space="preserve">De begeleider stelt samen met de student of opdrachtgever de leervraag op, uitgedrukt in opleidingsonderdelen, (eventueel) aangevuld met additionele wensen en voorwaarden. Er wordt met name aandacht besteed aan het vertalen van de leervraag van de student naar de onderwijslogistieke consequenties._x000D_
_x000D_
Een belangrijk onderdeel van het formuleren van de leervraag is het maken van een keuze uit de elementen van de kwalificatiestructuur, die past bij de leervraag. Dat kan betekenen dat wordt gekozen voor het passende verbintenisgebied, bijvoorbeeld een specifieke kwalificatie als de deelnemer nog is ingeschreven op een kwalificatiedosssier, of de keuze voor een of meerdere keuzedelen. Als gevolg daarvan zal mogelijk de inschrijving moeten worden gewijzigd._x000D_
</t>
  </si>
  <si>
    <t>Gebruiken leermiddelen</t>
  </si>
  <si>
    <t>Uitvoeren leertaken en praktijk ervaren</t>
  </si>
  <si>
    <t>Het gebruiken van leermiddelen bij het uitvoeren van leertaken.</t>
  </si>
  <si>
    <t>Herbenoemen</t>
  </si>
  <si>
    <t>Het herbenoemen van een medewerker in een (andere) functie</t>
  </si>
  <si>
    <t>Herplaatsen</t>
  </si>
  <si>
    <t>Het herplaatsen van medewerkers in andere functies</t>
  </si>
  <si>
    <t>In kaart brengen informatie behoefte</t>
  </si>
  <si>
    <t xml:space="preserve">Het in kaart van de gewenste informatiebehoefte (vraagarticulatie) en het vormgeven, sturen, aanpassen, bewaken en in stand houden van de informatievoorziening </t>
  </si>
  <si>
    <t>Informeren en betrekken ouders/verzorgers</t>
  </si>
  <si>
    <t xml:space="preserve">Resultaat_x000D_
* Mensen (afkomstig van vooropleidingen, medewerkers of werkzoekenden die willen bij- of omscholen) die zich willen gaan aanmelden voor een specifieke opleiding/cursus._x000D_
_x000D_
Vastgelegd in_x000D_
* Overzicht van potentiele studenten._x000D_
</t>
  </si>
  <si>
    <t>Informeren over instelling ontwikkelingen</t>
  </si>
  <si>
    <t>Informeren student en beoordelaar</t>
  </si>
  <si>
    <t xml:space="preserve">De student en andere betrokkenen zoals beoordelaars of acteurs worden voorafgaand van het examen geïnformeerd._x000D_
_x000D_
Voor de student moet het duidelijk zijn onder welke omstandigheden het examen wordt afgenomen. De te treffen voorbereidingen, de toegestane hulpmiddelen, de omschrijving van de context/setting van het examen, de duur van het examen en de inrichting van de locatie zijn bekend. De instructie is concreet: na het lezen weet de student wat hij moet doen, hoe en wanneer. Ook weet de student na het lezen van de instructie waarop hij wordt beoordeeld, wie beoordeelt en hoe hij beoordeeld wordt._x000D_
_x000D_
Voor de beoordelaars moet het duidelijk ook zijn onder welke omstandigheden het examen moet worden afgenomen. De beoordelaar wordt geïnformeerd over de wijze van beoordelen, zodat hij bekend is met het exameninstrument. Ook wordt hij op de hoogte gesteld van de te treffen voorbereidingen, de toegestane hulpmiddelen, de omschrijving van de context/setting van het tentamen, de duur van het examen en de inrichting van de examenlocatie, zodat de beoordelaar kan beoordelen of aan alle afnamecondities is voldaan. </t>
  </si>
  <si>
    <t>Inkopen</t>
  </si>
  <si>
    <t>Het proces van verwerven/aanschaffen van middelen of diensten. Denk aan offertetrajecten, onderhandelen, contract opstellen, bestellen</t>
  </si>
  <si>
    <t>Inkopen en contracteren</t>
  </si>
  <si>
    <t>Het plannen van en het inkopen van middelen en diensten</t>
  </si>
  <si>
    <t>Inkopen examens</t>
  </si>
  <si>
    <t xml:space="preserve">De mbo-school heeft besloten om (een deel van) de examens en/of examendiensten (afname en beoordeling) in te kopen bij een (andere) exameninstelling of een examenleverancier._x000D_
_x000D_
BESCHRIJVING PROCESSTAPPEN_x000D_
_x000D_
* Verstrek de opdracht aan de leverancier of exameninstelling die de constructie van examenproducten voor zijn rekening neemt. Het examenplan is hierbij het uitgangspunt._x000D_
* Check de offerte/het contract op inkoopvoorwaarden én op onderwijsinhoudelijke onderdelen. Gebruik hierbij eventueel de Controlelijst inkoop examens. Let op: bij inkoop berust de verantwoordelijkheid voor het gebruik van exameninstrumenten en/of examendiensten bij de examencommissie. De inkoper is dus aanspreekbaar op de kwaliteit. Ook in het geval van samenwerking door mbo-scholen rond examinering, blijft de mbo-school verantwoordelijk voor de kwaliteit van de eigen examinering. De Inspectie van het Onderwijs voert het toezicht uit bij de mbo-school die inkoopt of de samenwerking aangaat._x000D_
* Teken het contract en benoem een contactpersoon die de contacten onderhoudt, examens ontvangt en deze indient voor vaststelling door de examencommissie._x000D_
* Evalueer het inkoopproces, de kwaliteit van de contracten, de samenwerking met de leverancier, et cetera. Benoem en beschrijf wat er goed ging en welke verbeterpunten er zijn. Rapporteer de bevindingen aan de examencommissie. Verzamel en registreer deze bevindingen._x000D_
</t>
  </si>
  <si>
    <t>Inkopen inventariseren en plannen</t>
  </si>
  <si>
    <t>Het inventariseren van benodigheden en het plannen van de inkoop ervan</t>
  </si>
  <si>
    <t>Inkopen leermiddelen</t>
  </si>
  <si>
    <t xml:space="preserve">Dit inkoopproces van leermiddelen begint bij de vastgestelde behoefte aan leermateriaal. In eerste instantie wordt deze behoefte op hoofdlijnen in kaart gebracht, per onderwerp waarvoor leermateriaal nodig. Zo’n onderwerp kan bijvoorbeeld een bepaald kennisgebied, beroepstaak of werkproces zijn._x000D_
_x000D_
Daarnaast zijn de eisen die door allerlei belanghebbenden aan het leermateriaal worden gesteld relevant. Zo stelt de wetgever eisen in de vorm van het kwalificatiedossier, maar ook vanuit het beleid van de instelling zelf, de ouders, werkgevers en student kunnen eisen zijn geformuleerd waar leermateriaal aan moet voldoen._x000D_
_x000D_
Op basis van de in kaart gebrachte behoefte aan leermateriaal, en de eisen die daaraan door de verschillende belanghebbenden worden gesteld, wordt gezocht in allerlei bronnen naar relevant leermateriaal. Dit kan worden gezien als een soort marktverkenning, waarin een overzicht ontstaat van het relevante leermateriaal voor de betreffende opleiding(en) waarvoor wordt gezocht._x000D_
_x000D_
In dit zoekproces wordt vaak al duidelijk op welke onderwerpen er geen, of onvoldoende, leermateriaal in de markt beschikbaar is dat aan de eisen van de instelling zou kunnen voldoen._x000D_
_x000D_
Daarbij is het vaak nodig  om met een uitgever en/of distributeur, of een individuele auteur contractuele afspraken te maken. Deze afspraken kunnen gaan over prijs en leveringsvoorwaarden, maar bijvoorbeeld ook over de wijze van bestellen, betalen en leveren, afspraken over serviceverlening etc. Voor digitaal leermateriaal zijn wellicht afspraken over licenties of koppelingen. Dit is allemaal onderdeel van het inkoopproces dat voorafgaat aan de daadwerkelijke aanschaf door individuele studenten of docenten._x000D_
</t>
  </si>
  <si>
    <t>Inlenen, Inhuren</t>
  </si>
  <si>
    <t>Het inlenen en/of inhuren van in- of externe medewerkers</t>
  </si>
  <si>
    <t>Innen</t>
  </si>
  <si>
    <t>Het faciliteren en registreren van het doen van betalingen zoals met contant geld of een betaalpas door derden</t>
  </si>
  <si>
    <t>Inschrijven</t>
  </si>
  <si>
    <t>Resultaat_x000D_
* Ingeschreven student_x000D_
_x000D_
Vastgelegd in_x000D_
* Inschrijving als student</t>
  </si>
  <si>
    <t>Inschrijven alumni</t>
  </si>
  <si>
    <t>Instromen personeel</t>
  </si>
  <si>
    <t>Het werven, plaatsen, benoemen, registreren, inhuren, onboarden van nieuwe medewerkers</t>
  </si>
  <si>
    <t>Instroom alumni</t>
  </si>
  <si>
    <t>Resultaat_x000D_
* Psychologisch, onderwijskundig en administratief ingetakete (potentiële) studenten. _x000D_
* Uit te voeren loopbaanadvies en gesprekken passend onderwijs._x000D_
* Student en de instelling hebben een beeld van de mate waarin de opleiding passend is (leervraag) en welke hulpmiddelen (plannen) nodig zijn._x000D_
_x000D_
Vastgelegd in_x000D_
* Plaatsing als aangemelde student in het student informatie systeem._x000D_
* Studentendossier met gemaakte afspraken (plannen)</t>
  </si>
  <si>
    <t>Intaken en onboarden personeel</t>
  </si>
  <si>
    <t>Het intaken en onboarden van personeel</t>
  </si>
  <si>
    <t>Intern communiceren</t>
  </si>
  <si>
    <t>Het adviseren over en ondersteunen bij interne communicatie zoals bij projecten, systeemimplementaties, narrow casting, content op portalen</t>
  </si>
  <si>
    <t>Intern communiceren onderwijs aanbod</t>
  </si>
  <si>
    <t xml:space="preserve">Voordat de voorlichtingsactiviteiten beginnen worden de onderwijsteams geïnformeerd. In elk onderwijsteam wordt een aantal docenten geselecteerd om een rol te spelen tijdens de voorlichting._x000D_
_x000D_
De volgende stappen kunnen hierbij worden doorlopen._x000D_
_x000D_
* Informeren van de onderwijsteams over de voorlichitngsactiviteiten._x000D_
* Selecteren van voorlichters uit de onderwijsteams._x000D_
* Instrueren van de voorlichters over het voorlichtingsmateriaal en de voorlichtingsbijeenkomsten. </t>
  </si>
  <si>
    <t>Interventie ter voorkoming verzuim</t>
  </si>
  <si>
    <t>Het analyseren van verzuimgegevens en ondersteunen bij het voorkomen van verzuim.</t>
  </si>
  <si>
    <t>Jaarkalender vaststellen</t>
  </si>
  <si>
    <t>Plannen en roosteren</t>
  </si>
  <si>
    <t>Juridisch adviseren</t>
  </si>
  <si>
    <t xml:space="preserve">Het leveren van juridische adviezen </t>
  </si>
  <si>
    <t>Loonaangifte doen en pensioen verwerken</t>
  </si>
  <si>
    <t>Het doen van loonaangifte en het verwerken van pensioengegevens</t>
  </si>
  <si>
    <t>Maken examenplanning</t>
  </si>
  <si>
    <t>Het uitwerken van een planning voor de uitvoering van examens op basis van het examenplan en de jaarplanning. ​</t>
  </si>
  <si>
    <t>Maken jaarplanning</t>
  </si>
  <si>
    <t xml:space="preserve">De jaarplanning is het resultaat van het matchen van het onderwijsaanbod, studenten, BPV, de medewerkers en de faciliteiten, grofmazig uiteengezet over het schooljaar (globaal jaarrooster) en indien van toepassing periodes. In voorkomende gevallen kan de instelling bijsturen op de genoemde onderdelen. Het maken van de jaarplanning kent een wisselwerking met het analyseren van de werkverdeling. Op basis van de jaarplanning wordt het plan van inzet voor de medewerkers samengesteld._x000D_
_x000D_
De jaarplanning wordt op basis van de volgende informatie ontwikkeld:_x000D_
_x000D_
* het beoogde onderwijsaanbod_x000D_
* de schatting van het onderwijs en studenten_x000D_
* de jaarkalender_x000D_
* de analyse van de werkverdeling_x000D_
* de analyse van de faciliteiten_x000D_
* de clustering van leertaken_x000D_
_x000D_
Het matchen van het onderwijsaanbod, studenten, BPV, de medewerkers en de middelen, grofmazig uiteengezet over het schooljaar (globaal jaarrooster) en indien van toepassing periodes. In voorkomende gevallen kan de instelling bijsturen op de genoemde onderdelen. Het maken van de jaarplanning kent een wisselwerking met het analyseren en opstellen van de werkverdeling. Op basis van de jaarplanning wordt het plan van inzet voor de medewerkers samengesteld._x000D_
_x000D_
In de jaarplanning wordt rekening gehouden met:_x000D_
_x000D_
* afspraken die voortvloeien uit de onderwijswetgeving (urennorm)_x000D_
* afspraken die voortvloeien uit de CAO MBO_x000D_
* afspraken die voortvloeien uit de OER_x000D_
* de inhoud van de curricula_x000D_
_x000D_
Bij wijzigingen in onderwijsaanbod, werkverdeling en faciliteitenbeschikbaarheid gedurende het schooljaar wordt de jaarplanning onderhouden._x000D_
_x000D_
De jaarplanning voedt het roosteren. </t>
  </si>
  <si>
    <t>OK OC-P, OK P-OC</t>
  </si>
  <si>
    <t>Maken meerjaren planning</t>
  </si>
  <si>
    <t>Een meerjarenplanning wordt opgesteld om inzicht te krijgen in de huidige en toekomstige faciliteiten en expertisebehoeften binnen een opleiding. Er wordt een match gemaakt tussen het onderwijsaanbod, de medewerkers en de faciliteiten. Dit wordt grofmazig uiteengezet over meerdere jaren. Deze planning is de basis voor het maken van leertaken die passen in de leerroutes van studenten._x000D_
_x000D_
De meerjarenplanning wordt gebaseerd op een schatting van het onderwijs en studenten, de curricula- of onderwijsplannen, faciliteitengegevens en de medewerkersgegevens. De meerjarenplanning richt zich op het capaciteitsvraagstuk over het gehele curriculum van de studenten. Op deze manier biedt de meerjarenplanning handvatten voor het tijdig bijsturen van de instelling inzake het onderwijsaanbod, het faciliteitenaanbod en het personeelsbestand.</t>
  </si>
  <si>
    <t>Maken prestatie afspraken</t>
  </si>
  <si>
    <t>Het overeenkomen van prestatie-afspraken tussen de instelling en een leverancier</t>
  </si>
  <si>
    <t>Maken rooster</t>
  </si>
  <si>
    <t xml:space="preserve">Het roosteren van onderwijsactiviteiten op basis van de jaarplanning en het toetsen van het rooster aan de jaarplanning._x000D_
_x000D_
Dit omvat de matching tussen specifieke:_x000D_
_x000D_
- Geclusterde leertaken (arrangementen) van student(en), klas(sen) of groep(en)_x000D_
- Middelen_x000D_
- Mensen (docent(en) en/of instructeurs)_x000D_
- Datum en tijd_x000D_
_x000D_
Het roosteren kan per schooljaar of per periode uitgevoerd worden._x000D_
_x000D_
Het rooster houdt rekening met:_x000D_
_x000D_
- de onderwijswetgeving (urennorm)_x000D_
- de CAO MBO_x000D_
- de OER_x000D_
</t>
  </si>
  <si>
    <t>Marketing</t>
  </si>
  <si>
    <t>De activiteiten van de instelling gericht op het bekendmaken van diens aanbod aan diensten teneinde nieuwe leerlingen te werven._x000D_
_x000D_
Resultaat_x000D_
* Beeld in de buitenwereld van de school_x000D_
* Relatie met bedrijven, instellingen, overheid en andere scholen in de keten._x000D_
_x000D_
Vastgelegd in_x000D_
* Missiestatement, visiestatement, huisstijl, brochures, foldermateriaal, reclame-uitingen, open dagen, etc.</t>
  </si>
  <si>
    <t>Matchen aanmelding en examen aanbod</t>
  </si>
  <si>
    <t>In dit proces vindt een match plaats tussen de examenaanmelding van de student en het examenaanbod van de mbo-school en/of exameninstelling. Daarbij wordt bekeken of het aangevraagde examen, vastgesteld is door de examencommissie en afgenomen kan worden. Wanneer er voorwaarden aan de deelname van het examen zijn gesteld, wordt bekeken of de student hieraan voldoet</t>
  </si>
  <si>
    <t>ComponentOffering; CourseOffering; Person; ProgramOffering</t>
  </si>
  <si>
    <t>https://openonderwijsapi.nl/specification/v5/docs.html#tag/component_offering_model; https://openonderwijsapi.nl/specification/v5/docs.html#tag/course_offering_model; https://openonderwijsapi.nl/specification/v5/docs.html#tag/person_model; https://openonderwijsapi.nl/specification/v5/docs.html#tag/program_offering_model</t>
  </si>
  <si>
    <t>Matchen beschikbare mensen en middelen op de onderwijsvraag</t>
  </si>
  <si>
    <t xml:space="preserve">Het matchen van de beschikbare medewerkers en middelen op de totale onderwijsvraag van de komende periode. Dit leidt tot het daadwerkelijk toewijzen van deze medewerkers en middelen aan te plannen leertaken._x000D_
</t>
  </si>
  <si>
    <t>Matchen BPV</t>
  </si>
  <si>
    <t xml:space="preserve">Matching is het verbinden van een student aan een BPV-plaats. De student en/of de school zoeken naar een geschikt BPV-bedrijf. Bijvoorbeeld op www.stagemarkt.nl worden BPV-plaatsen aangeboden door BPV-bedrijven aan studenten._x000D_
_x000D_
Wanneer er een geschikte BPV-plaats is gevonden, voert de student vaak een sollicitatiegesprek met het BPV-bedrijf. De student, het BPV-bedrijf en de BPV-docent bepalen gezamenlijk of er sprake is van een match._x000D_
_x000D_
De school:_x000D_
- Bereidt de student praktijkgericht voor op de BPV._x000D_
- Ondersteunt de student bij het zoeken naar een BPV-plaats die past bij de leervragen._x000D_
- Zorgt voor een goede match tussen student en BPV-bedrijf._x000D_
- Zorgt voor bedrijfsoriëntatie en presentatie‑ en sollicitatievaardigheden._x000D_
- Zorgt voor de start van de BPV-periode voor heldere voorlichting over verantwoordelijkheden en verplichtingen van het BPV-bedrijf, de student en de school._x000D_
</t>
  </si>
  <si>
    <t xml:space="preserve">Resultaat_x000D_
* Een student met een passende plaats waar hij/zij de praktijkervaring kan opdoen en leertaken kan uitvoeren als onderdeel van zijn/haar persoonlijke leerroute._x000D_
_x000D_
Vastgelegd in_x000D_
* Door alle partijen getekende BPV-overeenkomst_x000D_
</t>
  </si>
  <si>
    <t>Melden afwezigheid door student</t>
  </si>
  <si>
    <t>Een melding van afwezigheid kan over voorziene of onvoorziene afwezigheid gaan. Een voorbeeld voor voorziene afwezigheid is een bijzonder familiegebeurtenissen of geaccordeerd vakantieverlof. Een voorbeeld voor onvoorziene afwezigheid is een ziekte of problemen met het openbaar vervoer._x000D_
_x000D_
Deze gevallen worden identiek behandeld. Uit de reden van de melding blijkt of de afwezigheid voorzien is geweest of niet. _x000D_
_x000D_
BESCHRIJVING VAN HET PROCES_x000D_
- Ontvangen melding afwezigheid_x000D_
- Registreren melding afwezigheid_x000D_
- Beoordeling rechtmatigheid afwezigheid</t>
  </si>
  <si>
    <t>Melden verzuim en actie ondernemen korte termijn</t>
  </si>
  <si>
    <t>Het melden van verzuim en het op korte termijn actie ondernemen.</t>
  </si>
  <si>
    <t>Melden verzuimloket</t>
  </si>
  <si>
    <t>Informatieuitwisseling en verantwoording</t>
  </si>
  <si>
    <t>Signaleren dat het ongeoorloofd verzuim van een student aan één van de onderstaande voorwaarden voldoet._x000D_
- Relatief verzuim: de student is meer dan 16 uur ongeoorloofd afwezig bin-nen een periode van vier weken. Elke keer wanneer deze 16 uur bereikt is, moet u opnieuw een verzuimmelding opvoeren. De einddatum die u door-geeft is de laatste verzuimdag óf de dag dat de 16 uur is bereikt._x000D_
- Langdurig relatief verzuim (LRV): de student is langer dan vier weken onge-oorloofd afwezig._x000D_
- Luxe verzuim: de student is zonder toegekend verlof buiten de schoolvakanties om op vakantie gegaan._x000D_
_x000D_
Wanneer aan deze voorwaarden is voldaan voor een bepaalde student dan wordt vóór aanmaak van de verzuimmelding aan het verzuimloket een signaal afgegeven aan de mentor. De mentor beoordeelt de verzuimmelding en besluit om het wel of niet te melden. Dit besluit wordt vastgelegd met een toelichting van de mentor. Vervolgens kan de melding worden verzonden naar DUO.</t>
  </si>
  <si>
    <t>Monitoren budgetten, inkomsten en uitgaven</t>
  </si>
  <si>
    <t>Het monitoren en rapporteren over de inkomsten en uitgaven van toegekende budgetten.</t>
  </si>
  <si>
    <t>Monitoren effectiviteit onderwijs activiteiten</t>
  </si>
  <si>
    <t>Naast de uitvoering van onderwijsactiviteiten, volgt de docent of praktijbegeleider ook de effectiviteit ervan en neemt dit mee in de voorbereiding van onderwijsactiviteiten in het vervolg.</t>
  </si>
  <si>
    <t>Monitoren voortgang leerroute</t>
  </si>
  <si>
    <t xml:space="preserve">Tijdens de opleiding wordt de voortgang van de student door alle betrokken docenten in beeld gebracht. Iedere student heeft een studieloopbaanbegeleider. Deze begeleidt de student bij de leerprocessen en ontwikkeling en monitort de studievoortgang. De studieloopbaanbegeleider van de student is betrokken bij het verstrekken van het bindend studie advies en het aanvragen van eventuele vrijstellingen. Voor de student is de studieloopbaanbegeleider het eerste aanspreekpunt waar het gaat om voortgang (of stagnatie) in de ontwikkeling in de loopbaan. Ook wordt tenminste één keer per jaar beoordeeld of de ondersteuningsbehoefte geëvalueerd._x000D_
_x000D_
Bij minderjarig studenten moeten de de ouders worden geïnformeerd over de voortgang en eventuele wijzigingen in het ondersteuningsplan._x000D_
</t>
  </si>
  <si>
    <t>Nazorg</t>
  </si>
  <si>
    <t>Het begeleiden van (ex) medewerkers naar het vinden van ander werk</t>
  </si>
  <si>
    <t>Offreren</t>
  </si>
  <si>
    <t>Het (ondersteunen bij het) maken van een financiële offerte betreffende door de instelling aangeboden goederen of diensten .</t>
  </si>
  <si>
    <t>Ondersteunen</t>
  </si>
  <si>
    <t xml:space="preserve">Resultaat_x000D_
* Een student die hulp heeft gekregen in zijn/haar studievoortgang en bij eventuele stagnatie is doorverwezen naar een 2e of 3e lijnshulp._x000D_
* Een student heeft hulp gekregen in bemiddeling naar werk en/of het vinden van een plek in de maatschappij._x000D_
_x000D_
Vastgelegd in_x000D_
* Student- /Zorgdossier_x000D_
</t>
  </si>
  <si>
    <t>Ondersteunen ICT en leren</t>
  </si>
  <si>
    <t>Het adviseren en ondersteunen van het onderwijs m.b.t. de inzet van ICT</t>
  </si>
  <si>
    <t>Ondersteunen student</t>
  </si>
  <si>
    <t xml:space="preserve">Ondersteunen student omvat in aanvulling op de reguliere begeleiding het signaleren van problemen, interveniëren en zorg verlenen._x000D_
_x000D_
Probeem signaleren_x000D_
Als de student definitief geplaatst is en er geen of beperkte additionele begeleiding nodig blijkt te zijn, ligt het verlenen van eventuele ondersteuning alleen bij de studieloopbaanbegeleider. Als de studieloopbaanbegeleider echter een probleem signaleert dan wordt de trajectbegeleider erbij betrokken. Vanaf dit moment verlenen zowel de studieloopbaanbegeleider als de trajectbegeleider de benodigde ondersteuning aan de student. _x000D_
_x000D_
Interveniëren_x000D_
De trajectbegeleider verleent de ondersteuning op het moment dat er intensievere additionele begeleiding nodig blijkt te zijn. De studieloopbaanbegeleider blijft betrokken bij het begeleidingsproces van de student. _x000D_
_x000D_
Zorg verlenen_x000D_
De zorgverlening kan bestaan uit interne begeleiding en/of externe begeleiding. De trajectbegeleider en de aangewezen begeleider of instantie verlenen de ondersteuning. De studieloopbaanbegeleider blijft betrokken bij het begeleidingsproces van de student._x000D_
</t>
  </si>
  <si>
    <t>Ondertekenen BPV overeenkomst</t>
  </si>
  <si>
    <t>Het is belangrijk dat alle betrokkenen (student, BPV-bedrijf en school) van tevoren op de hoogte zijn van de inhoud van de BPV-overeenkomst. Dan weet iedereen wat er wel of niet van hen wordt verwacht. Om die reden wordt de BPV-overeenkomst door de school verstrekt en getekend door alle partijen. In verband met mogelijke aansprakelijkheid is het verstandig pas te starten met de BPV als de BPV-overeenkomst is getekend. De school stuurt de overeenkomst ter verificatie naar de Dienst Uitvoering Onderwijs (DUO)._x000D_
_x000D_
BESCHRIJVING VAN HET PROCES:_x000D_
1. Ondertekenen van de BPV-overeenkomst door de student, BPV-bedrijf en de onderwijsinstelling._x000D_
2. Archiveren van de BPV-overeenkomst in de studentadministratie.</t>
  </si>
  <si>
    <t xml:space="preserve">Resultaat:_x000D_
Overzicht van verwerkte mutaties (inclusief historie): _x000D_
* welke studenten volgen welke opleiding (crebo/cohort e.d.) met welke vakken/cursussen en resultaten,_x000D_
* welke docenten en met welke expertise (inzetbaarheid) verbonden zijn aan welke opleiding en vakken._x000D_
_x000D_
Vastgelegd in:_x000D_
* Up to date gegevens (zoals opleiding, vakken/cursussen, resultaten, docent, rollen, ed.) met bijgewerkte overeenkomsten_x000D_
</t>
  </si>
  <si>
    <t>Onderwijs innoveren</t>
  </si>
  <si>
    <t>Onderzoek &amp; innovatie</t>
  </si>
  <si>
    <t>Resultaat_x000D_
* Effectief en toekomstgericht innovatief onderwijs waarbij de onderzoekuitkomsten zijn doorgevoerd in het onderwijsaanbod (nieuwe methoden, proeftuinen, etc.)_x000D_
_x000D_
Vastgelegd in_x000D_
* Toegankelijke kennisbank van uitgedragen kennis.</t>
  </si>
  <si>
    <t>Onderzoeken behoefte arbeidsmarkt</t>
  </si>
  <si>
    <t>Resultaat_x000D_
* Studenten met optimale kans op werk._x000D_
* Werkenden met een optimale set aan vaardigheden. _x000D_
* Bedrijven en instellingen beschikken over voldoende gekwalificeerd personeel._x000D_
_x000D_
Vastgelegd in_x000D_
* Inzicht in behoefte van personeel en bij/omscholen van personeel bij bedrijven.</t>
  </si>
  <si>
    <t>Onderzoeken markt</t>
  </si>
  <si>
    <t>Het onderzoeken van de markt gericht op het behalen van de doelstelling van de onderneming m.b.t. instroom, uitstroom en continuiteit. Denk aan demografische onderzoeken, werken aan marktaandeel, de positie in het werkveld, teveredenheidsonderzoeken, ontwikkelingen in de arbeidsmarkt, onderzoek concurrentiepositie</t>
  </si>
  <si>
    <t>Ontvangen digitaal doorstroom dossier</t>
  </si>
  <si>
    <t xml:space="preserve">Ten behoeve van een warme overdracht en om het uitvoeren van de onderwijs intake wordt gebruikt gemaakt van informatie uit het (digitaal)doorstroomdossier van de student. Dit doorstroomdossier bevat informatie over de student uit het voorliggende onderwijs. De informatie heeft betrekking op de ontwikkeling en ondersteuning van de student. De voorgaande onderwijsinstelling moet het doorstroomdossier overdragen aan de onderwijsinstelling._x000D_
</t>
  </si>
  <si>
    <t>Ontwikkelen en opleiden personeel</t>
  </si>
  <si>
    <t>Het beoordelen van en het ontwikkelen van de kennis en vaardigheden van medewerkers</t>
  </si>
  <si>
    <t xml:space="preserve">Resultaat:_x000D_
* Ontwikkelde leertaken die invulling geven aan het onderwijsaanbod._x000D_
_x000D_
Vastgelegd in:_x000D_
* Uitgewerkte leertaken_x000D_
* Onderwijscatalogus_x000D_
</t>
  </si>
  <si>
    <t>Ontwikkelen imago</t>
  </si>
  <si>
    <t>Het ontwikkelen en onderhouden van het imago van de instelling zoals uitdragen van de huisstijl, deelname in samenwerkingsverbanden, doen van campagnes, uitingen in de pers enz..</t>
  </si>
  <si>
    <t>Ontwikkelen leermiddelen</t>
  </si>
  <si>
    <t xml:space="preserve">Wanneer geconstateerd wordt dat er voor een bepaald onderwerp (een kennisgebied, beroepstaak of werkproces) geen geschikt leermateriaal beschikbaar is, kan het initiatief worden genomen om geschikt leermateriaal te (laten) ontwikkelen. Dat kan door een eigen medewerker, maar ook door een externe partij. Wanneer het leermateriaal is ontwikkeld zal het door de ontwikkelaar beschikbaar worden gesteld. Dat betekent dat het vindbaar wordt gemaakt, indien van toepassing besteld en betaald kan worden, en op de leermiddelenlijst geplaatst kan worden._x000D_
</t>
  </si>
  <si>
    <t>Ontwikkelen practoraat</t>
  </si>
  <si>
    <t>Resultaat_x000D_
* Kennis en vaardigheden geborgd in een expertiseplatform (practoraat) waarbij het onderwijs is aangesloten._x000D_
_x000D_
Vastgelegd in_x000D_
* Practoraat opdracht_x000D_
* Toegankelijke kennisbank van uitgedragen kennis.</t>
  </si>
  <si>
    <t>Opleiden en ontwikkelen personeel</t>
  </si>
  <si>
    <t>Het ontwikkelen van de kennis en vaardigheden van medewerkers</t>
  </si>
  <si>
    <t>Opstellen bewijs van inschrijving</t>
  </si>
  <si>
    <t xml:space="preserve">De student wordt op basis van de uitkomst van de intake in de opleiding geplaatst en ingeschreven. De student ontvangt daarvan een bewijs van inschrijving. Hiermee is de overeenkomst tussen de student en de instelling tot stand gekomen._x000D_
</t>
  </si>
  <si>
    <t>Opstellen BPV overeenkomst</t>
  </si>
  <si>
    <t xml:space="preserve">Voor de start van de BPV sluit de student een BPV-overeenkomst met de school en de werkgever. Daarin zijn de wederzijdse rechten en plichten vastgelegd._x000D_
Een belangrijke voorwaarde voor het verwerken van wijzigingen tijdens de BPV is dat de partijen die de eerste BPV-overeenkomst hebben ondertekend, niet veranderen. Dan kan met een extra BPV-blad worden gewerkt als er sprake is van een wijziging. In andere situaties wordt een nieuwe BPV-overeenkomst afgesloten._x000D_
_x000D_
BESCHRIJVING VAN HET PROCES:_x000D_
1. Ontvangen van het BPV-aanmeldformulier._x000D_
2. Registreren van de BPV-plaatsing van de student in het kernregistratiesysteem studenten_x000D_
3. Opstellen van de BPV-overeenkomst._x000D_
4. Verzenden van de BPV-overeenkomst naar de student met het verzoek deze zelf te ondertekenen en door het BPV-bedrijf te laten ondertekenen. Verzoek is dan om de BPV-overeenkomst te retourneren._x000D_
</t>
  </si>
  <si>
    <t>Opstellen businesscase opleiding</t>
  </si>
  <si>
    <t>Opstellen van een kwalitatieve en kwantitatieve analyse op basis waarvan bepaald kan worden of het wenselijk en haalbaar is om een bepaalde opleiding in het opleidingenaanbod op te nemen.</t>
  </si>
  <si>
    <t>Opstellen examen plan</t>
  </si>
  <si>
    <t xml:space="preserve">Het examenplan geeft per kwalificatie een overzicht van de examenonderdelen en examens die een mbo-school inzet voor de examinering (kwalificerende beoordeling). Het examenplan geeft inzicht in de onderdelen die een student met een voldoende moet afsluiten om in aanmerking te komen voor een diploma._x000D_
_x000D_
In het examenplan staat binnen welke omgeving (mbo-instelling of beroepspraktijk) de examens plaatsvinden. Hierbij wordt rekening gehouden met de praktische haalbaarheid van de examinering binnen de praktijksituatie en de afspraken in het sectoraal examenprofiel. In een examenplan staan de examenonderdelen en examens voor de beroepsgerichte eisen en de generieke taal- en rekeneisen. Ook de wijze waarop een mbo-school deze onderdelen examineert staat in het examenplan. Teams schrijven dit examenplan en houden hierbij rekening met de schoolbrede geldende afspraken._x000D_
_x000D_
Beschrijving van het proces dat kan worden gevolgd:_x000D_
_x000D_
* Verzamel het examenplan en de verbeterplannen van vorig jaar._x000D_
* Verzamel actuele sector- en opleidingspecifieke documenten, zoals het sectorale examenprofiel en het kwalificatiedossier._x000D_
* Bekijk samen of er aanleiding is om het examenplan van vorig jaar aan te vullen of bij te stellen._x000D_
* Stel het examenplan op of bij. Gebruik hierbij eventueel het servicedocument Format examenplan._x000D_
* Leg het bijgestelde examenplan voor aan een aantal externe betrokkenen uit het bedrijfsleven om de herkenbaarheid, organiseerbaarheid en haalbaarheid te toetsen._x000D_
* Dien het examenplan in voor vaststelling._x000D_
_x000D_
Nadat het examenplan is opgesteld, stellen degenen die hiervoor bevoegd en verantwoordelijk zijn dit documenten vast. Nu ligt dit plan  voor een bepaalde periode vast en wordt er door de teams gewerkt aan de implementatie en uitvoering ervan._x000D_
</t>
  </si>
  <si>
    <t>Opstellen examen reglement</t>
  </si>
  <si>
    <t xml:space="preserve">Het examenreglement is het juridisch kader dat voor elke student de transparantie en betrouwbaarheid van het examenproces waarborgt. Het examenreglement moet bekend zijn bij de student en op bijvoorbeeld de website van de school staan. In het examenreglement staan de formele regels en afspraken waar iedereen die bij examinering en diplomering betrokken is, zich aan houdt. Er zijn regels en afspraken opgenomen over bijvoorbeeld fraude, herkansingen, bewaartermijnen en beroep. Het gaat om formele, juridische afspraken en kaders._x000D_
_x000D_
MOGELIJKE PROCESSTAPPEN_x000D_
_x000D_
* Verzamel de bijgestelde examenvisie, het examenreglement en de verbeterplannen van vorig jaar._x000D_
* Bekijk of er, gezien de documenten, aanleiding is om het al bestaande examenreglement aan te passen._x000D_
* Pas het examenreglement aan of stel het examenreglement op. Gebruik hiervoor eventueel het servicedocument Handreiking inhoud examenreglement._x000D_
* Dien het examenreglement in voor vaststelling._x000D_
</t>
  </si>
  <si>
    <t>Opstellen faciliteiten planning</t>
  </si>
  <si>
    <t>Het zorgdragen voor een planning rondom het gebruik, de bezetting, de aanschaf van facilitaire ruimten</t>
  </si>
  <si>
    <t>Opstellen financiële verantwoording</t>
  </si>
  <si>
    <t>Het zorgdragen voor financiële rapportages (verantwoordingsgegevens) voor de partijen die daar recht op hebben, zoals DUO of de Belastingdienst.</t>
  </si>
  <si>
    <t>Opstellen formatieplanning en begroting</t>
  </si>
  <si>
    <t>Opstellen van de formatieplanning en bijbehorende begroting</t>
  </si>
  <si>
    <t>Opstellen handboek examinering</t>
  </si>
  <si>
    <t xml:space="preserve">In het handboek examinering beschrijft de mbo-school de visie op examinering: de processen en procedures van de examinering, de taken, verantwoordelijkheden en bevoegdheden van alle betrokkenen bij examinering. Het handboek examinering is toegankelijk voor deze betrokkenen. De informatie moet voor hen snel en eenvoudig beschikbaar zijn. De inhoud van het handboek is afgeleid van de wettelijke kaders, de examenvisie en het examenreglement._x000D_
_x000D_
Beschrijving proces:_x000D_
_x000D_
* Verzamel de bijgestelde examenvisie, het examenreglement en verbeterplannen van vorig jaar._x000D_
* Bekijk of er, gezien de documenten, aanleiding is om het al bestaande handboek examinering aan te passen._x000D_
* Pas het handboek examinering aan of stel het handboek op. Gebruik hiervoor het servicedocument Voorbeeld inhoudsopgave handboek examinering._x000D_
* Dien het handboek examinering in voor vaststelling._x000D_
</t>
  </si>
  <si>
    <t>Opstellen investeringen begroting</t>
  </si>
  <si>
    <t>Het proces van het aanmaken van de financiële begroting door (afdelingen van) de instelling</t>
  </si>
  <si>
    <t>Opstellen jaarrekening</t>
  </si>
  <si>
    <t>Het opmaken van een financieel jaarverslag van de financiële situatie van de instelling. Dit als onderdeel van het totale jaarverslag</t>
  </si>
  <si>
    <t>Opstellen kost-/verkoopprijs calculatie</t>
  </si>
  <si>
    <t>Het opstellen van de kostprijs van goederen of diensten</t>
  </si>
  <si>
    <t>Opstellen leermiddelenlijst</t>
  </si>
  <si>
    <t xml:space="preserve">In dit proces wordt vastgesteld, welk leermiddelen geschikt is voor welke opleidingsonderdelen. Uiteindelijk zal hierin een keuze moeten worden gemaakt, die leidt tot een concrete leermiddelenlijst per opleidingsonderdeel of onderwijsprogramma. In deze leermiddelenlijst zijn in principe alle leermiddelen opgenomen, zowel folio als digitaal lesmateriaal, maar ook andere materialen zoals vakkleding of gereedschap._x000D_
_x000D_
</t>
  </si>
  <si>
    <t>Opstellen Onderwijs en Examen Regeling (OER)</t>
  </si>
  <si>
    <t>Het onderwijs en examenreglement is het juridisch kader dat voor elke student de transparantie en betrouwbaarheid van het onderwijs- examenproces waarborgt. In het onderwijs en examenreglement staan de formele regels en afspraken waar iedereen die bij onderwijs, examinering en diplomering betrokken is, zich aan houdt. Er zijn regels en afspraken opgenomen over bijvoorbeeld de inhoud van de opleiding, studiebegeleiding en studievoortgang, fraude, herkansingen, bewaartermijnen en klachten. Het gaat om formele, juridische afspraken en kaders.</t>
  </si>
  <si>
    <t>Opstellen onderwijsplan</t>
  </si>
  <si>
    <t xml:space="preserve">Het onderwijsplan is een samenhangend overzicht waarin per opleiding de opleidingsonderdelen staan die samen een opleiding vormen. Hierin staan, onder andere, de doelen van de opleiding, de leerinhoud, toetsen, didactische principes en/of de wijze en het tijdstip waarop de opleiding aangeboden wordt. In het onderwijsplan staat ook in welke omgeving (mbo-school, zelfstudie of beroepspraktijk) het onderwijs plaatsvindt. Hierbij wordt rekening gehouden met de praktische haalbaarheid en de doelgroep. _x000D_
_x000D_
Beschrijving van het proces dat kan worden gevolgd:_x000D_
_x000D_
* Verzamel het onderwijsplan en de verbeterplannen van vorig jaar._x000D_
* Verzamel actuele sector- en opleidingspecifieke documenten, zoals keuzedelen en het kwalificatiedossier._x000D_
* Bekijk samen of er aanleiding is om het onderwijsplan van vorig jaar aan te vullen of bij te stellen._x000D_
* Stel het onderwijsplan op of bij._x000D_
* Leg het (bijgestelde) onderwijsplan voor aan een aantal interne en externe betrokkenen om de herkenbaarheid, organiseerbaarheid en haalbaarheid te toetsen._x000D_
* Stel het onderwijsplan vast en archiveer dit._x000D_
_x000D_
Nadat het onderwijsplan is opgesteld, stellen degenen die hiervoor bevoegd en verantwoordelijk zijn dit document vast. Nu ligt dit plan voor een bepaalde periode vast en wordt er door de teams gewerkt aan de implementatie en uitvoering ervan._x000D_
</t>
  </si>
  <si>
    <t>Opstellen visie onderwijs en examinering</t>
  </si>
  <si>
    <t xml:space="preserve">Het team verbindt de instelling- en schoolvisie op onderwijs en leren met de eigen situatie en inzichten en vertaalt deze voor de opleiding, met zijn specifieke kenmerken en niveau, naar het leren van studenten dat hen voorbereidt op wat het werkveld, en de toekomstige ontwikkelingen daarin, van beginnende beroepsbeoefenaars vraagt. _x000D_
_x000D_
De visie op examinering is een afgeleide van de algemene visie op de kwaliteit van het onderwijs. De visie geeft richting aan het examenbeleid: de inhoudelijke, procesmatige en organisatorische keuzes._x000D_
_x000D_
</t>
  </si>
  <si>
    <t>Opstellen, beheren en bewaken van de architectuur</t>
  </si>
  <si>
    <t>Het zorgdragen voor de (enterprise) architectuur zoals het definiëren van architectuurprincipes en het ontwikkelen van IST en SOLL modellen van onder meer processen en het applicatielandschap</t>
  </si>
  <si>
    <t>Opvragen Examen Catalogus</t>
  </si>
  <si>
    <t>Organiseren evenementen</t>
  </si>
  <si>
    <t>Organiseren participatie in ontwikkeling en uitvoering onderwijs</t>
  </si>
  <si>
    <t>Resultaat_x000D_
* Samenwerking en kennisdeling met het bedrijfsleven en andere betrokkenen (gemeenten, scholen, SBB, UWV, ed.)._x000D_
* Participatie kan betrekking hebben op:_x000D_
** Samen ontwikkeling van onderwijs/leertaken_x000D_
** Samen uitvoering van onderwijs/leertaken_x000D_
** Bemiddeling naar werk en BPV-plaatsen_x000D_
_x000D_
Vastgelegd in_x000D_
* Plannen met breed draagvlak en gerealiseerde samenwerkingstrajecten.</t>
  </si>
  <si>
    <t>Overeenkomen arbeids contract</t>
  </si>
  <si>
    <t>Het overeenkomen en opmaken van een arbeidscontract</t>
  </si>
  <si>
    <t>Persoonlijke leerroute specificeren</t>
  </si>
  <si>
    <t xml:space="preserve">De leervraag van een student wordt tijdens dit proces uitgewerkt naar een persoonlijke leerroute die bestaat uit de opleidingsonderdelen waarvoor de student heeft gekozen._x000D_
_x000D_
Het onderwijsprogramma bestaat uit een planbaar geheel aan opleidingsonderdelen, dat model staat voor de persoonlijke leerroute van een student. De student kan daarin nog keuzes maken, wat resulteert in een persoonlijke leerroute._x000D_
_x000D_
Deze opleidngsonderdelen bestaan uit leertaken die de student gaat uitvoeren tijdens de opleiding. De persoonlijke leerroute wordt aangevuld met randvoorwaarden, volgorde, keuzes e.d. om het plannen (roosteren) mogelijk te maken._x000D_
_x000D_
Voor het bepalen van de leerroute van de student in de BPV is de matching tussen het leerbedrijf en de student ook nog van belang, want de student moet de leertaken kunnen uitvoeren bij het leerbedrijf._x000D_
</t>
  </si>
  <si>
    <t>Plaatsen student</t>
  </si>
  <si>
    <t>Na de aanmelding, administratieve intake en onderwijsintake wordt de student geplaatst, met uitzondering van de volgende situaties:_x000D_
_x000D_
* De student voldoet niet aan eventuele aanvullende eisen;_x000D_
* Er zijn niet voldoende opleidingsplekken;_x000D_
* Er is een instroombeperking. In dit geval wordt de student niet direct geplaatst, maar kan er een wachttijd of een lotingsprocedure zijn._x000D_
_x000D_
Wanneer voor een opleiding onvoldoende arbeidsmarktperspectief is en/of onvoldoende beschikbare BPV-plaatsen en/of onvoldoende onderwijscapaciteit (zoals lesruimten) kan een instelling besluiten tot het inzetten van een numerus fixus (instroombeperking)._x000D_
_x000D_
Deze instroombeperking kan door opleidingen in het mbo worden afgehandeld op volgorde van binnenkomst van de aanmeldingen of op basis van een loting. Studenten die niet direct geplaatst worden of waarbij sprake is van loting, worden op een wachtlijst geplaatst. Deze wachtlijst wordt door de instelling op volgorde van binnenkomst afgehandeld of er wordt na 1 april geloot onder de tot dan toe aangemelde studenten._x000D_
_x000D_
De plaatsing is de basis voor de juridische verhouding tussen student en mbo-school die door middel van een inschrijving wordt bevestigd. Pas na inschrijving en de uitwisseling daarvan met ROD is de inschrijving juridisch geldig.</t>
  </si>
  <si>
    <t>Planbare Examens Opvragen</t>
  </si>
  <si>
    <t>Planbare Toetsen Ontvangen</t>
  </si>
  <si>
    <t>Planbare Toetsen Opvragen</t>
  </si>
  <si>
    <t xml:space="preserve">Resultaat:_x000D_
* Optimale inzet van mensen en middelen ten behoeve van het onderwijs geven (docent/praktijkinstructeur) en onderwijs krijgen (student)._x000D_
_x000D_
Vastgelegd in:_x000D_
* (Individueel) rooster (studenten en docenten): jaar, periode, week en dag_x000D_
* Werkverdeling team_x000D_
</t>
  </si>
  <si>
    <t>Presenteren onderwijsaanbod</t>
  </si>
  <si>
    <t>Een onderwijsinstelling definieert de opleidingen en cursussen die worden aangeboden aan de studenten in de vorm van onderwijsaanbod. Het onderwijsaanbod wordt ontwikkeld voor nieuwe opleidingen en cursussen, onderhouden en nader gespecificeerd. Zo ontstaat een eenduidig aanbod van opleidingen binnen de gehele onderwijsinstelling. Dit gebeurt in de onderwijscatalogus. Het zorgt ervoor dat alle omringende processen informatie kunnen putten uit de onderwijscatalogus om flexibel te kunnen inschrijven, het onderwijs voor te bereiden en de studenten te begeleiden.</t>
  </si>
  <si>
    <t>Proces</t>
  </si>
  <si>
    <t>Professionele en inhoudelijke ontwikkeling teamleden</t>
  </si>
  <si>
    <t>Resultaat_x000D_
* Optimaal inzetbare teamleden, zowel op individueel niveau als op team als geheel._x000D_
_x000D_
Vastgelegd in_x000D_
* Vastgelegde bekwaamheden en expertises die aansluiten _x000D_
op de rol en taken van het team._x000D_
* Scholingsplan.</t>
  </si>
  <si>
    <t>Prognosticeren mensen- en middelen behoefte</t>
  </si>
  <si>
    <t xml:space="preserve">Resultaat:_x000D_
* Optimale inzet van mensen en middelen gebaseerd op de huidige situatie en de toekomstige verwachtingen._x000D_
_x000D_
Vastgelegd in:_x000D_
* Inzetplanning: docenten, afdelingsteams, projectteams, middelenplanning, etc._x000D_
</t>
  </si>
  <si>
    <t>Publiceren leermiddelenlijst</t>
  </si>
  <si>
    <t xml:space="preserve">De leermiddelenlijst wordt zodanig gepubliceerd dat studenten en docenten op basis daarvan de voor hen relevante daadwerkelijk leermiddelen kunnen aanschaffen. De leermiddelenlijst wordt gepubliceerd als een gepersonaliseerde lijst, afhankelijk van de persoonlijke leerroute (de opleidingsonderdelen) die de student volgt._x000D_
</t>
  </si>
  <si>
    <t>Publiceren Onderwijs en Examenregeling (OER)</t>
  </si>
  <si>
    <t>Het onderwijs en examenreglement moet bekend zijn bij de student en op bijvoorbeeld de website van de school zijn gepubliceerd</t>
  </si>
  <si>
    <t>Publiceren rooster</t>
  </si>
  <si>
    <t xml:space="preserve">Het publiceren van het rooster voor studenten en docenten. Dit gebeurt periodiek en na wijzigingen._x000D_
</t>
  </si>
  <si>
    <t>Rapporteren en evalueren</t>
  </si>
  <si>
    <t xml:space="preserve">Resultaat_x000D_
* Controle en bijsturing op uitvoering van (strategische) planning._x000D_
_x000D_
Vastgelegd in_x000D_
* Audits, evaluaties en interne verantwoordingen_x000D_
</t>
  </si>
  <si>
    <t>Rapporteren gegevens aan- en afwezigheid</t>
  </si>
  <si>
    <t xml:space="preserve">Vertegenwoordigers van externe partijen hebben behoefte aan informatie omtrent de aanwezigheid van deelnemers, omdat zij verantwoordelijk zijn voor de begeleiding van deelnemers of omdat zij het onderwijs financieren. In deze stap wordt de rapportage opgesteld over de aanwezigheid van de deelnemer. Voor vragen ten aanzien van begeleiding van deelnemers kan worden gedacht aan maatschappelijke dienstverleners, zoals GGD. Voor financiering kan worden gedacht aan werkgevers, klantmanagers gemeente, UWV, re-integratiebedrijven._x000D_
_x000D_
In de aanwezigheidsregistratie zijn de gegevens van deelnemers betreffende hun presentie gedurende een bepaalde tijdsperiode vastgelegd. Vanuit onderwijslogistiek (reserveren) is bekend wanneer en voor welk onderwijsproduct een deelnemer geacht wordt aanwezig te zijn. Door de metingen in tijd af te zetten tegen het tijdraster van de planning kan een analyse worden gemaakt van de aan- en afwezigheid van deelnemers. _x000D_
</t>
  </si>
  <si>
    <t>Registreren Examen Deelname</t>
  </si>
  <si>
    <t xml:space="preserve">Registreren kennis en ervaring </t>
  </si>
  <si>
    <t>Registreren vrijstellingen</t>
  </si>
  <si>
    <t>Op basis van eerder behaalde onderdelen van de opleiding of eerder opgedane werkervaring kan de student vrijstellingen aanvragen bij de examencommissie. Vaak worden eventuele vrijstellingen besproken tijdens de intake. De vrijstellingen kunnen door de examencommissie verleend worden op beroepsgerichte en generieke examenonderdelen. De verleende vrijstellingen worden opgenomen in het examendossier van de student. Een student hoeft dan geen examen te doen._x000D_
_x000D_
In het geval van vrijstelling op basis van eerder opgedane werkervaring spreken we van Erkennen van Verworven Competenties (EVC)._x000D_
_x000D_
Naast vrijstelling voor examens kan de student vrijstellingen aanvragen voor onderwijs. Deze vrijstelling wordt niet door de examencommissie, maar door het onderwijsteam verleend.</t>
  </si>
  <si>
    <t>Reintegreren medewerker</t>
  </si>
  <si>
    <t>Het ondersteunen bij het reintegreren van medewerkers</t>
  </si>
  <si>
    <t>Samenwerking met alumni</t>
  </si>
  <si>
    <t>Schatten onderwijs en studenten</t>
  </si>
  <si>
    <t>Elk jaar wordt er een inschatting gemaakt van het aantal studenten. Wekelijks wordt het aantal inschrijvingen gemonitord. Op deze manier kan beredeneerd worden wat er komend schooljaar aan onderwijs moet worden gefaciliteerd. Deze inschatting wordt gemaakt op basis van het aantal klassen, studenten en leerroutes. De schatting gebruikt de opleidingsmanager om het aantal FTE en de werkvoorraad te analyseren.</t>
  </si>
  <si>
    <t>Schoonmaak diensten</t>
  </si>
  <si>
    <t xml:space="preserve">Het zorgdragen voor het schoonmaken van gebouwen en gebouwinrichting. </t>
  </si>
  <si>
    <t>Signaleren en rapporteren aan- en afwezigheid</t>
  </si>
  <si>
    <t>De onderwijsinstelling moet voldoen aan de wettelijke of contractuele verplichting om de aan- of afwezigheid van studenten te melden. In deze stap wordt de afwezigheid van studenten gesignaleerd volgens vooraf vastgestelde regels en afspraken. Dit leidt tot een rapportage omtrent de afwezigheid van studenten), wat - na interne validatie - gemeld wordt aan de betrokken externe partij. Vervolgens wordt de gerapporteerde afwezigheid geregistreerd bij de student.</t>
  </si>
  <si>
    <t>Signaleren lange termijn verzuim en ondernemen vervolgacties</t>
  </si>
  <si>
    <t>Het signaleren van (mogelijk) lange termijn verzuim en het ondernemen van vervolgacties</t>
  </si>
  <si>
    <t>Startgesprek BPV</t>
  </si>
  <si>
    <t>Het startgesprek vindt plaats tussen student, begeleider van het BPV-bedrijf en begeleider vanuit school. Verwachtingen van betrokkenen, beroeps- en werkhouding, de leerdoelen, de inhoud van BPV-opdrachten en geldende regels binnen het bedrijf worden besproken. Er worden afspraken gemaakt over de uit te voeren werkzaamheden, taken en verantwoordelijkheden van de student. Ook wordt besproken hoe de student de leerdoelen kan behalen.</t>
  </si>
  <si>
    <t>Stellen vacature</t>
  </si>
  <si>
    <t>Het opmaken en plaatsen van vacatures</t>
  </si>
  <si>
    <t>Sturen op financiën</t>
  </si>
  <si>
    <t>Het sturen op financiën zoals kostprijscalculaties, de investeringsbegroting, kostenallocaties, formatielasten e.d.</t>
  </si>
  <si>
    <t>Sturen op personeel en bezetting</t>
  </si>
  <si>
    <t>Het sturen op en beheren van de formatieplanning en -begroting van (de afdelingen van) de instelling.</t>
  </si>
  <si>
    <t>Subsidies</t>
  </si>
  <si>
    <t>Het analyseren, verantwoorden van, rapporteren over verkregen subsidies en de besteding ervan</t>
  </si>
  <si>
    <t>Teamplan opstellen, uitvoeren en verantwoorden</t>
  </si>
  <si>
    <t xml:space="preserve">Resultaat_x000D_
* Team (zowel onderwijs als bedrijfsvoering teams) dat op een cyclische wijze en met alle betrokkenen planmatig aan de slag gaat met haar opdracht en vervolgens klaar is voor het verzorgen van onderwijs, ondersteuning of andere taken waarvoor de betreffende afdeling verantwoordelijk is._x000D_
_x000D_
Vastgelegd in_x000D_
* Teamplan PDCA-cyclus (bv maand- perioderapportages, triaalgesprekken/verslagen)_x000D_
</t>
  </si>
  <si>
    <t>Tijdsregistratie</t>
  </si>
  <si>
    <t>Het registreren van de tijd dat er is gewerkt</t>
  </si>
  <si>
    <t>Toets Context Informatie Ontvangen</t>
  </si>
  <si>
    <t>Toets Context Informatie Opvragen</t>
  </si>
  <si>
    <t>Toets Inschrijving Matchen aan Planbaar Toetsaanbod</t>
  </si>
  <si>
    <t>Toets inschrijving ontvangen</t>
  </si>
  <si>
    <t>Toets Inschrijving opvragen</t>
  </si>
  <si>
    <t>Toetszittingsplan maken</t>
  </si>
  <si>
    <t>Resultaat_x000D_
* Formele beëindiging van de bij de inschrijving aangegane wederzijdse verplichtingen._x000D_
_x000D_
Vastgelegd in_x000D_
* Uitgeschreven student met beëindigde wederzijdse verplichtingen.</t>
  </si>
  <si>
    <t>Uitschrijven alumni</t>
  </si>
  <si>
    <t>Uitstromen personeel</t>
  </si>
  <si>
    <t>Het ondersteunen en administratief verwerken van het uitstromen van personeel</t>
  </si>
  <si>
    <t>Uitstroom alumni</t>
  </si>
  <si>
    <t>Uitvoeren administratieve intake</t>
  </si>
  <si>
    <t xml:space="preserve">Deze activiteit wordt in de meeste gevallen binnen het inschrijfproces uitgevoerd, namelijk:_x000D_
 _x000D_
* De student heeft zich aangemeld;_x000D_
* De student is doorverwezen door een opleiding binnen de instelling of door een andere instelling;_x000D_
* De student heeft zich aangemeld naar aanleiding van een opleidingstraject dat door zijn/haar werkgever wordt ingezet._x000D_
_x000D_
De aanmelding via het aanmeldformulier wordt gecontroleerd en verwerkt. Tijdens de verwerking wordt gecheckt of de student toelaatbaar is, beschikt over een geldige verblijfsstatus en mogelijk op uitzonderingsdoelgroepen die door de instelling zijn benoemd. Na de administratieve intake wordt de student doorverwezen naar de onderwijsintake.  De student kan ook worden doorverwezen naar een andere plek of zich terug trekken wegens gebrek aan belangstelling._x000D_
</t>
  </si>
  <si>
    <t>Uitvoeren examen</t>
  </si>
  <si>
    <t xml:space="preserve">Tijdens de uitvoering van het examen levert de student een prestatie aan de hand waarvan beoordelaars beoordelen of hij voldoet aan de exameneisen (zie volgende processtap). De examencommissie ziet er op toe dat alle onderdelen van het examenplan deel uitmaken van het totaal aan examens, inclusief de centrale examens voor taal en rekenen._x000D_
</t>
  </si>
  <si>
    <t>Uitvoeren leertaken</t>
  </si>
  <si>
    <t xml:space="preserve">Gedurende de opleiding voert de student diverse leertaken uit. Deze leertaken worden door docenten en/of praktijkbegeleiders begeleid. Alle leertaken samen vormen de totale opleiding van de student. Naast beroepsgerichte leertaken betreft het ook taken gericht op taal, rekenen, keuzedelen etc.._x000D_
Tijdens de BPV draait de student mee in de dagelijkse gang van zaken in het BPV-bedrijf. Binnen dat proces voert de student werkzaamheden uit en werkt aan beroepscompetenties. Ook voert de student BPV-opdrachten uit waarmee (delen van) kerntaken en werkprocessen geoefend worden. </t>
  </si>
  <si>
    <t>Uitvoeren leertaken BPV</t>
  </si>
  <si>
    <t>Tijdens de BPV draait de student mee in de dagelijkse gang van zaken in het BPV-bedrijf. De student neemt deel aan het bedrijfsproces. Binnen het bedrijf voert de student werkzaamheden uit en werkt hij/zij aan beroepscompetenties. Ook voert de student BPV-opdrachten uit waarmee (delen van) kerntaken en werkprocessen geoefend worden. De BBL-student draait daarin mee als werknemer en wordt hierbij goed begeleid. Van de BOL-student wordt niet verwacht dat hij/zij meedraait als werknemer.</t>
  </si>
  <si>
    <t xml:space="preserve">Resultaat:_x000D_
* Student die de betreffende (leer)taak aantoonbaar beheerst en klaar is voor het afleggen van een examen (summatief)._x000D_
* Student die de (leer)taken in de praktijk heeft gebracht als onderdeel van de opleiding buiten de instelling en heeft aangetoond het geleerde als medewerker van een organisatie te kunnen uitvoeren._x000D_
_x000D_
Vastgelegd in:_x000D_
* Portfolio van de student en zijn formatieve resultaten._x000D_
* Afgeronde BPV of BPV-opdrachten_x000D_
_x000D_
</t>
  </si>
  <si>
    <t>Uitvoeren onderhoud</t>
  </si>
  <si>
    <t>Het zorgdragen voor de werking en het onderhouden van de gebouwen en de gebouwinstallaties van de organisatie  Denk aan: de technische dienst, klimaatbeheer, energiebeheer</t>
  </si>
  <si>
    <t>Uitvoeren onderwijs activiteiten</t>
  </si>
  <si>
    <t>Het uitvoeren van onderwijsactiviteiten door een docent of praktijkbegeleider. Dit zijn in het rooster geplande of niet geplande onderwijsactiviten (zoals lessen, instructie in een les of praktijksituatie, bespreken van opdrachten) die erop gericht zijn dat studenten hun leertaken kunnen uitvoeren.</t>
  </si>
  <si>
    <t>Uitvoeren onderwijs intake</t>
  </si>
  <si>
    <t>Nadat de administratieve waarin vooral is gekeken naar de toelatingsvoorwaarden, wordt vervolgens een onderwijsintake uitgevoerd. In deze intake wordt bijvoorbeeld het beroepsbeeld geschetst en krijgt de student een beter beeld van de opleiding.  Dit kan onder andere bevatten: _x000D_
* een begeleidingsadvies;_x000D_
* overzicht van aan te vragen vrijstellingen;_x000D_
* de eerste keuzes in de leerroute van de student._x000D_
_x000D_
In sommige gevallen wordt de student doorverwezen naar de uitgebreide intake binnen de mbo-school._x000D_
Wanneer de student bij de aanmelding heeft aangegeven dat er sprake is van een ondersteuningsbehoefte, dan wordt er altijd een uitgebreide intake gedaan._x000D_
_x000D_
De intaker legt het resultaat van de intake vast in het begeleidingsdossier van de student.</t>
  </si>
  <si>
    <t>Uitvoeren onderzoek</t>
  </si>
  <si>
    <t>Resultaat_x000D_
* Ontdekte verbeteringen/innovaties op inhoudelijk vlak op de gebieden waarop de school onderwijs aanbiedt en aansluit op de vraag vanuit externe partijen._x000D_
_x000D_
Vastgelegd in_x000D_
* Goedgekeurde onderzoeksopdrachten en gerapporteerde resultaten.</t>
  </si>
  <si>
    <t>Uitvoeren Projectadministratie</t>
  </si>
  <si>
    <t>Het registreren van de financiële gegevens m.b.t. gedefinieerde projecten die de instelling specifiek wil volgen. Denk aan kosten, opbrengsten, voortgang, dekkingsgraad e.d.</t>
  </si>
  <si>
    <t>Uitvoeren repro</t>
  </si>
  <si>
    <t>Het leveren van kopieer-, opmaak- en afdrukdiensten zoals bij een huisdrukkerij</t>
  </si>
  <si>
    <t>Uitvoeren schoonmaak</t>
  </si>
  <si>
    <t>Het zorgdragen voor het plannen, uitvoeren en controleren van het schoonmaken van gebouwen en ruimten</t>
  </si>
  <si>
    <t>Uitvoeren uitgebreide intake</t>
  </si>
  <si>
    <t xml:space="preserve">Wanneer uit de aanmelding van een student blijkt dat de student niet zomaar geplaatst kan worden in de opleiding naar keuze, kan er een uitgebreide intake plaatsvinden. Deze intake kan gericht zijn op: _x000D_
_x000D_
* Het bepalen van de ondersteuningsvraag van de student;_x000D_
* Het begeleiden van de studiekeuze van de student;_x000D_
* Het begeleiden van de student naar een andere opleiding dan de opleiding naar keuze (bijvoorbeeld in geval van instroombeperking of niet voldoen aan aanvullende eisen)._x000D_
_x000D_
Een uitgebreide intake vindt ook plaats wanneer er sprake is van een opleiding met aanvullende eisen. In dat geval kan de uitgebreide intake bestaan uit een auditie of sporttest. Vaak wordt deze intake uitgevoerd door een aantal docenten, die per team zijn aangewezen. Daarnaast zijn er vaak specialisten vanuit de mbo-school aanwezig bij een uitgebreide intake._x000D_
_x000D_
Beschrijving van het proces:_x000D_
_x000D_
* Voeren van een intake-plus gesprek._x000D_
* Bepalen van de aanvullende begeleiding._x000D_
* Vastleggen van de afspraken over de aanvullende begeleiding._x000D_
* Eventueel geven van een studieloopbaanadvies._x000D_
* Eventueel begeleiden van de aspirant-student naar een andere opleiding en/of onderwijsinstelling._x000D_
_x000D_
Extra (indien van toepassing t.a.v. opleiding):_x000D_
 * Uitvoeren van aanvullende toelatingsopdrachten zoals een auditie of sporttest._x000D_
</t>
  </si>
  <si>
    <t>Uitvoeren verbouwingen</t>
  </si>
  <si>
    <t>Het zorgdragen voor het uitvoeren van verbouwingen</t>
  </si>
  <si>
    <t>Uitvoeren verplichtingen-administratie</t>
  </si>
  <si>
    <t>Het administreren van aangegane financiële verplichtingen zoals die veelal voortvloeien uit inkooptrajecten</t>
  </si>
  <si>
    <t>Uitvragen kwaliteit van onderwijs</t>
  </si>
  <si>
    <t>Uitwisselen gegevens met derden</t>
  </si>
  <si>
    <t xml:space="preserve">Het zorgdragen voor het geautomatiseerd uitwisselen van gegevens (koppelingen, systeemintegraties) met derden. Denk aan de uitwisseling met BRON, belastingdienst enz..._x000D_
</t>
  </si>
  <si>
    <t>Uitwisselen met ROD</t>
  </si>
  <si>
    <t>Via ROD (voorheen BRON) worden inschrijvingen, diploma’s en BPV-gegevens van de studenten uitgewisseld met DUO. ROD bestaat uit 2 registers; Onderwijsdeelname (OD) en Onderwijsresultaten (OR). De bekostiging van instellingen is mede afhankelijk van de juiste uitwisseling met ROD._x000D_
_x000D_
Aanleidingen voor de uitwisseling met ROD::_x000D_
_x000D_
* Nieuwe (of gewijzigde) inschrijving_x000D_
* Nieuwe (of gewijzigde) BPV-overeenkomst_x000D_
* Uitschrijving met uitvalsreden anders dan diplomering_x000D_
* Gegevens over diplomering en het behalen van generieke examenonderdelen</t>
  </si>
  <si>
    <t>Valideren en monitoren Werkkosten-regeling</t>
  </si>
  <si>
    <t>Het verwerken en bewaken van het gebruik van de werkkostenregeling</t>
  </si>
  <si>
    <t>Vastleggen aan- en afwezigheid</t>
  </si>
  <si>
    <t xml:space="preserve">Gedurende de opleiding van de student wordt bij alle onderwijsactiviteiten de aanwezigheid van de student geregistreerd. In geval van begeleide onderwijstijd (BOT) wordt deze aanwezigheidsregistratie door de docent uitgevoerd. In de BPV is de student zelf verantwoordelijk voor het bijhouden van zijn urenstaat._x000D_
_x000D_
Onderwijsactiviteiten kunnen verschillende vormen aannemen, bijvoorbeeld: lessen vanuit het rooster, een begeleidingsmoment met een onderwijsbegeleider, BPV, praktijkopdracht (buiten de school), workshops of activiteiten waarop kan worden ingeschreven, etc. Het gaat niet om zelfstudietijd en huiswerk._x000D_
_x000D_
De aanwezigheid van deelnemers kan van te voren ‘onbekend’ of ‘verwacht’ zijn. De docent of de deelnemer kan de werkelijke aan- of afwezigheid registreren. Er wordt aangegeven of er aanwezigheid of afwezigheid wordt geregistreerd en er is ruimte voor een aantal bijzonderheden. </t>
  </si>
  <si>
    <t>Vastleggen ondersteuningsbehoefte</t>
  </si>
  <si>
    <t xml:space="preserve">Studenten kunnen bij de aanmelding of gedurende het intake-proces aangeven welke ondersteuningsbehoefte zij hebben. Dit kan gaan om ondersteuning in de vorm van begeleiding door medewerkers van de instelling, experts van buiten de instelling (bijvoorbeeld een doventolk) of fysieke aanpassingen in het gebouw/lokaal. Ook kan het gaan om ondersteuning die nodig is voor het uitvoeren van bpv._x000D_
_x000D_
De ondersteuningsbehoefte van de student wordt voor aanvang van de opleiding vastgelegd in het ondersteuningsplan. Bij standaardvoorzieningen (zoals dyslexie) wordt dit ter kennisgeving aan de student gestuurd, waarbij de student binnen een bepaalde termijn (bijvoorbeeld 10 dagen) moet reageren bij onjuistheden. Bij maatwerk moet de student expliciet toestemmin geven / akkoord geven met het ondersteuningsplan._x000D_
</t>
  </si>
  <si>
    <t>Vaststellen begroting</t>
  </si>
  <si>
    <t xml:space="preserve">Het formeel vaststellen en registreren van de overeengekomen begrotingen van (afdelingen van) de instelling._x000D_
</t>
  </si>
  <si>
    <t>Resultaat:_x000D_
* Vastgestelde, goedgekeurde en toegankelijke examens, inclusief de hiervoor vereiste middelen._x000D_
_x000D_
Vastgelegd in:_x000D_
* Examenregeling inclusief kaders, OER en examenplan</t>
  </si>
  <si>
    <t>Vaststellen examens</t>
  </si>
  <si>
    <t xml:space="preserve">Het is de wettelijke taak van de examencommissie om de examenproducten vast te stellen. Hierbij kan zij zich laten adviseren door een vaststellingsadviescommissie._x000D_
_x000D_
Als de mbo-school de uitvoering van de examinering (ofwel de afname van het examen) zelf uitvoert, en dus niet uitbesteedt aan een examenleverancier of een (andere) exameninstelling, stelt de mbo-school de ontwikkelde en ingekochte examenproducten vast._x000D_
_x000D_
BESCHRIJVING PROCESSTAPPEN_x000D_
_x000D_
* Bepaal op basis van de in- en externe kwaliteitseisen die de mbo-school aan de examens stelt, wanneer een examen wordt vastgesteld. Beschrijf dit in een vaststellingslijst. Gebruik hiervoor eventueel de servicedocumenten Vaststellingslijst kennisexamen en Vaststellingslijst praktijkexamen._x000D_
* De examencommissie/vaststellingscommissie kan voor examens bepalen dat het een examen met een laag risico betreft, bijvoorbeeld als er wordt ingekocht bij gecertificeerde leveranciers. Leg vast aan welke kwaliteitseisen een dergelijk examen minimaal moet voldoen. Gebruik hiervoor eventueel het servicedocument Vaststellingslijst examens met een laag risico._x000D_
* Beoordeel de ingediende examens op basis van de vaststellingslijsten._x000D_
* Als de examencommissie het examen niet kan vaststellen, voorzie dan de constructeur of de leverancier van feedback. De vaststellingslijst dient hiervoor als basis._x000D_
* Stel het examen vast en registreer/administreer dit._x000D_
* Evalueer de vaststellingsaanpak, de kwaliteit van de vaststellingslijsten, het verloop van het proces en de deskundigheid van de vaststellers. Benoem en beschrijf wat er goed ging en welke verbeterpunten er zijn. Rapporteer de bevindingen aan de examencommissie._x000D_
</t>
  </si>
  <si>
    <t>Vaststellen kaders</t>
  </si>
  <si>
    <t>De visie op examinering is een afgeleide van de algemene visie op de kwaliteit van het onderwijs. De visie geeft richting aan het examenbeleid: de inhoudelijke, procesmatige en organisatorische keuzes._x000D_
_x000D_
Een voorbeeld van een organisatorisch keuze is: ‘we examineren alles zelf’ of ‘we besteden de examinering zoveel mogelijk uit’. Een voorbeeld van een procesmatige keuze is: ‘we betrekken het beroepenveld bij alle processen van de examinering’. De examenvisie van een sector binnen een mbo-school is een afgeleide van de examenvisie van de gehele school._x000D_
_x000D_
Bij het op en bijstellen van de examenvisie baseert de ontwikkelaar zich op eerder opgestelde visiedocumenten over onderwijs en/of examinering en het jaarverslag van de examencommissie van het voorafgaande jaar, inclusief aanbevelingen. Te bepalen relevante partijen wordt een bijdrage gevraagd ten behoeve van het opstellen of bijstellen. Hiertoe kunnen sessies worden belegd met betrokkenen. Doel is te komen tot een kernachtige, herkenbare examenvisie. De examenvisie moet worden vastgesteld, en wordt gedeeld met de rest van de organisatie. _x000D_
_x000D_
Nadat de examenvisie, het examenreglement en het handboek examinering zijn opgesteld, stellen degenen die hiervoor bevoegd en verantwoordelijk zijn deze documenten vast. Nu liggen ze voor een bepaalde periode vast en kunt u werken aan de implementatie en uitvoering ervan.</t>
  </si>
  <si>
    <t>Vaststellen opleidingen aanbod</t>
  </si>
  <si>
    <t>Het passend aanbod van opleidingen wordt periodiek bepaald door degenen die daartoe bevoegd zijn en is gebaseerd op analyse van de kwalificatiestructuur, van de omgeving met het oog op afspraken in de regio, de arbeidsmarkt in verband met het perspectief voor studenten en alumni en de eigen sterke en zwakke punten. Het gaat hierbij zowel over het aanbod van bekostigde opleidingen, als opleidingen in de derde leerweg. Ook de beslissing welke keuzedelen zullen worden aangeboden is gebaseerd op deze analyses._x000D_
_x000D_
Na vaststelling worden onderwijsplan en examenplan gemaakt voor de vastgestelde opleidingen.</t>
  </si>
  <si>
    <t>Vaststellen resultaat examen</t>
  </si>
  <si>
    <t>Op basis van de evaluaties van het (verloop van het) examen, eventuele groepsresultaten en de verwerking van de uitkomsten van een eventuele bezwaar- en beroepsprocedure, stelt de examencommissie het resultaat van het examen (oftewel het oordeel over het presteren van de student) vast. Nadat zij het resultaat heeft vastgesteld, informeert zij de betrokkenen. Hierna archiveert de examencommissie het examenresultaat._x000D_
_x000D_
BESCHRIJVING VAN HET PROCES:_x000D_
1. Registreren c.q. verzamelen van de resultaten van de afgenomen examens in het studentinformatiesysteem._x000D_
2. Controleren van de juistheid en volledigheid van de examenresultaten._x000D_
3. Vaststellen van de examenresultaten._x000D_
4. Overdragen van de examenresultaten t.b.v. diplomeren en certificeren.</t>
  </si>
  <si>
    <t>Vaststellen vaste lasten</t>
  </si>
  <si>
    <t>Het bepalen van de vaste lasten van bijv. een afdeling of dienst</t>
  </si>
  <si>
    <t>Verander- en verbeter management</t>
  </si>
  <si>
    <t>Resultaat_x000D_
* De onderwijs- en bedrijfsvoering processen zijn efficiënt en effectief met inzet van actuele middelen en inzichten._x000D_
_x000D_
Vastgelegd in_x000D_
* Verbeterplannen, Programmaplannen en Project Portfolio_x000D_
* Voortgangsverslagen en besluitenlijsten</t>
  </si>
  <si>
    <t>Verhuren en reserveren</t>
  </si>
  <si>
    <t>Verkrijgen en aanbieden van vacatures</t>
  </si>
  <si>
    <t>Verkrijgen interesses en voorkeuren</t>
  </si>
  <si>
    <t>Verlenen vrijstelling</t>
  </si>
  <si>
    <t xml:space="preserve">Net als een examenresultaat stelt de examencommissie ook formeel het resultaat van de beoordeling van bewijsstukken vast, wat leidt tot het verlenen van een vrijstelling voor een examen en toevoeging aan het examendossier._x000D_
</t>
  </si>
  <si>
    <t>Verstrekken bindend studieadvies</t>
  </si>
  <si>
    <t>Sinds 2018 is het bindend studieadvies (BSA) wettelijk verplicht voor alle mbo-opleidingen. De afspraken die met de student over het BSA zijn gemaakt zijn vastgelegd bij de inschrijving. Een BSA heeft betrekking op de studievoortgang van de student en de voorzetting van zijn/haar opleiding. Onder studievoortgang worden de studieresultaten, beroeps- en werkhouding en BPV-voortgang verstaan._x000D_
_x000D_
Bij éénjarige opleidingen (entree-opleiding en specialistenopleiding) dient het BSA binnen vier kalendermaanden na aanvang van de opleiding te worden gegeven, maar niet eerder dan drie maanden na aanvang._x000D_
Bij meerjarige opleidingen dient het BSA na ten minste negen kalendermaanden en uiterlijk aan het eind van het eerste studiejaar van de opleiding te zijn gegeven._x000D_
_x000D_
In geval van een (mogelijk) negatief BSA dient de student altijd een schriftelijke waarschuwing te hebben ontvangen.</t>
  </si>
  <si>
    <t xml:space="preserve">Resultaat_x000D_
* Onderwijs dat aansluit bij de huidige en toekomstige behoeften van studenten en bedrijven / organisaties._x000D_
_x000D_
Vastgelegd in_x000D_
* Uitgewerkt huidig en komend opleidingenaanbod_x000D_
</t>
  </si>
  <si>
    <t>Verwerken en valideren maandelijkse salaris mutaties</t>
  </si>
  <si>
    <t xml:space="preserve">Verwerken en valideren maandelijkse salarismutaties </t>
  </si>
  <si>
    <t>Verwerken Examen Catalogus</t>
  </si>
  <si>
    <t>Verwerken post</t>
  </si>
  <si>
    <t>Het ontvangen, afleveren en versturen van in- en uitgaande post</t>
  </si>
  <si>
    <t>Verwerken post en archief</t>
  </si>
  <si>
    <t>Het zorgdragen voor het verwerken van post, goederenstromen, repro-diensten en het archiveren van documenten</t>
  </si>
  <si>
    <t>Verwerken salaris</t>
  </si>
  <si>
    <t>Het zorgdragen voor de salarisadministratie, het verwerken van declaraties en het uitbetalen ervan</t>
  </si>
  <si>
    <t>Verwerken salarisbetaling</t>
  </si>
  <si>
    <t>Het verwerken en uitvoeren van het uitbetalen van salarissen</t>
  </si>
  <si>
    <t>Verwerken wijzigingen administratieve gegevens student</t>
  </si>
  <si>
    <t>Het verwerken van allerlei administratieve mutaties van de gegevens van de student tijdens de studieloopbaan. Voorbeelden zijn mutaties in N.A.W.-gegevens, tussentijdse aanpassingen c.q aanvullingen van de inschrijving.</t>
  </si>
  <si>
    <t>Verwerven en onderhouden BPV plaatsen</t>
  </si>
  <si>
    <t xml:space="preserve">Resultaat_x000D_
* Beschikbare BPV-plaatsen voor het opdoen van praktijkervaring en uitvoeren van leertaken_x000D_
_x000D_
Vastgelegd in_x000D_
* Geaccrediteerde BPV-plaatsen._x000D_
</t>
  </si>
  <si>
    <t>Verwerven of ontwikkelen van applicaties</t>
  </si>
  <si>
    <t xml:space="preserve">Het zorgdragen voor het (laten) ontwikkelen of kopen van applicaties </t>
  </si>
  <si>
    <t>Verzamelen bewijsstukken</t>
  </si>
  <si>
    <t>De student verzamelt bewijsstukken om de vrijstellingsaanvraag te ondersteunen. De eisen waaraan deze bewijsstukken moeten voldoen zijn vastgelegd in de onderwijs- en examenregeling. Dit zijn bijvoorbeeld elders behaalde examen- of toetsresultaten.</t>
  </si>
  <si>
    <t>Verzamelen leerresultaten</t>
  </si>
  <si>
    <t xml:space="preserve">Op basis van het gevolgde onderwijs worden de leerresultaten verzameld en geregistreerd die relevant zijn om inzicht te krijgen in de voortgang en ontwikkeling van de student. Het gaat hier om formatieve toetsen of evaluatie, bijvoorbeeld een portfolio, opdracht of kennistoets. De registratie van leerresultaten biedt studenten en docenten/begeleiders inzicht in hoe de student staat ten opzichte van het afgesproken leerroute. Formatief toetsen en evalueren heeft als doel studenten inzicht te geven in hun eigen leerproces, hun motivatie te bevorderen en meer onderwijs op maat te realiseren._x000D_
</t>
  </si>
  <si>
    <t>Verzorgen catering</t>
  </si>
  <si>
    <t>Het verzorgen van cateringdiensten zoals het bedrijfsrestaurant</t>
  </si>
  <si>
    <t xml:space="preserve">Resultaat_x000D_
* De student krijgt onderwijs conform de planning en afspraken, vastgelegd in een (individueel) rooster en voorbereidend op de uit te voeren examens._x000D_
* Een docent/praktijkinstructeur die zijn lesmateriaal heeft voorbereid en heeft overgebracht aan de student._x000D_
_x000D_
Vastgelegd in_x000D_
* Onderwijscatalogus, curriculum, rooster_x000D_
* Lesmateriaal (in allerlei vormen zoals paperbased, in LMS e.d.)_x000D_
_x000D_
</t>
  </si>
  <si>
    <t>Verzorgen servicedesk</t>
  </si>
  <si>
    <t>Het leveren van servicedeskdiensten zoals een facilitaire servicedesk</t>
  </si>
  <si>
    <t>Verzorgen student coaching</t>
  </si>
  <si>
    <t>Visie bepalen, strategisch plannen en prognosticeren</t>
  </si>
  <si>
    <t xml:space="preserve">Resultaat:_x000D_
* instelling die in het maatschappelijk belang ervoor zorgdraagt dat iedereen zich kan ontwikkelen en bedrijven/instellingen en overheid de beschikking hebben tot goed personeel._x000D_
* inzicht in studentenaantallen en ontwikkelingen m.b.t. arbeidsmarkt_x000D_
* inzicht in benodigde middelen zoals faciliteiten, personeel, ed._x000D_
_x000D_
Vastgelegd in:_x000D_
* vastgestelde lange termijnplannen (strategie en dienst en college (meer)jaarplannen)) met toetsingscriteria en bijsturing_x000D_
* geschatte studentenaantallen_x000D_
* geschatte behoefte aan expertise (docenten) en middelen_x000D_
</t>
  </si>
  <si>
    <t>Voeren van de boekhouding</t>
  </si>
  <si>
    <t>Het systematisch registreren van uitgaven, inkomsten en de vermogenspositie van de instellling</t>
  </si>
  <si>
    <t>Voorbereiden BPV</t>
  </si>
  <si>
    <t xml:space="preserve">Het team of de instelling bereidt de student praktijkgericht voor op de BPV, zorgt voor bedrijfsoriëntatie en presentatie‑ en sollicitatievaardigheden. Voordat de stage begint zijn er een aantal vaardigheden die de student moet bezitten. Teams dragen bij aan de ontwikkeling van deze vaardigheden. Ook helpen de teams (vaak de BPV-docent) de student met het oriënteren op stageplaatsen en in het maken van de uiteindelijke keuze(s)._x000D_
_x000D_
Voor de start van de BPV-periode worden leerdoelen besproken en wordt een heldere voorlichting over verantwoordelijkheden en verplichtingen van student, BPV-bedrijf en school gegeven. Voordat de stage begint, wordt de student door een docent meegenomen in wat er wordt verwacht dat de student oplevert en bijhoudt. De student krijgt een begeleider vanuit school toegewezen. De praktijkopleider van het BPV-bedrijf wijst de student een praktijkbegeleider toe._x000D_
</t>
  </si>
  <si>
    <t>Voorbereiden en afstemmen (door) ontwikkeling</t>
  </si>
  <si>
    <t>Het voorbereiden en afstemmen van de ontwikkeling van kennis en vaardigheden van medewerkers</t>
  </si>
  <si>
    <t>Voorbereiden en nazorg onderwijs activiteiten</t>
  </si>
  <si>
    <t>Het voorbereiden van onderwijsactiviteiten, zoals lessen, instructie in een les of praktijksituatie of opdrachten. Dit omvat ook de nazorg na afloop van uitgevoerde onderwijsactiviteiten.</t>
  </si>
  <si>
    <t>Voorbereiden uitvoering examen</t>
  </si>
  <si>
    <t>Voorafgaand aan ieder examen wordt de examenomgeving gecontroleerd om ervoor te zorgen dat alle beoogde onderdelen kunnen worden geëxamineerd op een gelijkwaardige en betrouwbare manier. Het voorbereiden van een procesverbaal en het instrueren van surveillanten en examinatoren.</t>
  </si>
  <si>
    <t>Voorlichten aspirant studenten</t>
  </si>
  <si>
    <t>De taak van docenten die helpen bij de voorlichting is het goed informeren van aspirant-studenten over hun studiekeuze. Docenten doen dit door een realistisch beeld te schetsen van de opleiding en het beroepsveld. Een goede voorlichting vergroot de kans dat jongeren een goede studiekeuze maken en verkleint de kans op vroegtijdige uitval. Het voorlichten van potentiële nieuwe studenten vindt plaats tijdens verschillende bijeenkomsten. Soms start deze voorlichting al vanaf de 2e klas op het voortgezet onderwijs. Deze voorlichting kan de jongeren helpen een profiel te kiezen in het vo dat aansluit op de gewenste vervolgopleiding op het mbo. _x000D_
_x000D_
Het werven van nieuwe studenten begint meestal in het jaar van de mogelijke aanmelding._x000D_
_x000D_
Eventuele stappen_x000D_
* Geven van voorlichting aan aspirant-studenten over hun studiekeuze door een realistisch beeld te schetsen van de opleiding en beroepsveld._x000D_
* Aangeven wat de toelatingsvoorwaarden zijn voor het volgen van de opleiding.</t>
  </si>
  <si>
    <t>Werven alumni</t>
  </si>
  <si>
    <t>Het onderhouden van contact met alumni is belangrijk. Om oud-studenten te kunnen betrekken bij het onderwijs verzamelt de mbo-school informatie. Zo worden de kennis en ervaring die oud-studenten hebben geregistreerd, eventuele interesses en voorkeuren gepeild. Dit wordt vaak centraal geregeld.</t>
  </si>
  <si>
    <t>Werven aspirant studenten</t>
  </si>
  <si>
    <t xml:space="preserve">Na het voorlichten van de potentiële nieuwe studenten begint het werven. In deze fase maakt de aspirant-student een keuze voor een opleiding en voor een mbo-school waar hij/zij deze opleiding gaat volgen._x000D_
_x000D_
Aspirant-studenten die aan de vooropleidingseisen voldoen melden zich uiterlijk 1 april aan. Als zij ook deelnemen aan eventuele verplichte intake-activiteiten hebben zij toelatingsrecht tot de mbo-opleiding van hun eerste keuze. _x000D_
_x000D_
Beschrijving van het proces_x000D_
_x000D_
* Werven van aspirant-studenten d.m.v. wervingsactiviteiten._x000D_
* Geven van voorlichting aan aspirant-studenten over de intakeprocedure._x000D_
_x000D_
</t>
  </si>
  <si>
    <t>Werven BPV bedrijven en plaatsen</t>
  </si>
  <si>
    <t xml:space="preserve">Een BPV-bedrijf moet erkend zijn door SBB, voor een of meerdere mbo-opleidingen. SBB controleert periodiek of een BPV-bedrijf voldoet aan de voorwaarden voor erkenning. Dat houdt in dat het BPV-bedrijf een goede en veilige werkplek biedt, waar een student ervaring op kan doen met de werkprocessen en werkzaamheden die horen bij het beroep. Ook moet er een praktijkopleider zijn die de student op de werkvloer begeleidt._x000D_
_x000D_
De school verwerft passende BPV-plaatsen bij (erkende) BPV-bedrijven, afhankelijk van de te verwachten behoefte. Daarbij is het ook belangrijk dat in beeld is welke werkprocessen studenten bij de betreffende BPV-bedrijven kunnen leren. De school stemt de verwachtingen daarover af en bereidt het bedrijf voor op de te geven begeleiding en hun rol in de beoordeling. SBB kan daarbij ondersteunen._x000D_
_x000D_
</t>
  </si>
  <si>
    <t>Werven en selecteren</t>
  </si>
  <si>
    <t>Het werven en selecteren van nieuwe medewerkers</t>
  </si>
  <si>
    <t>Wijzigen functie, salaris, arbeidscontract</t>
  </si>
  <si>
    <t>Het administreren van het wijzigen van personeelsgegevens zoals iemands functie, salaris of arbeidscontract</t>
  </si>
  <si>
    <t>Wijzigen organisatie indeling en aansturing</t>
  </si>
  <si>
    <t>Het ondersteunen van het wijzigen van de inrichting of aansturing van de organisatie zoals de afdelingsstructuur of managementstructuur</t>
  </si>
  <si>
    <t>Wijzigen persoons gegevens</t>
  </si>
  <si>
    <t>Het administreren van het wijzigen van personeelsgegevens zoals adreswijzigingen</t>
  </si>
  <si>
    <t>Examen Beoordelaar</t>
  </si>
  <si>
    <t>BusinessRole</t>
  </si>
  <si>
    <t>Toetsleverancier</t>
  </si>
  <si>
    <t>Competentietoetsing</t>
  </si>
  <si>
    <t>BusinessService</t>
  </si>
  <si>
    <t>Deelinschrijving</t>
  </si>
  <si>
    <t>DataObject</t>
  </si>
  <si>
    <t>Examen Afname</t>
  </si>
  <si>
    <t xml:space="preserve">Vastleggen en uitwisselen van de concrete zitting waarop kandidaten het examen maken._x000D_
</t>
  </si>
  <si>
    <t>Examen Specificatie</t>
  </si>
  <si>
    <t xml:space="preserve">Canonieke beschrijving van wat er getoetst wordt._x000D_
</t>
  </si>
  <si>
    <t>Examenbeoordeling</t>
  </si>
  <si>
    <t>Formatief Resultaat</t>
  </si>
  <si>
    <t>Groepslidmaatschap</t>
  </si>
  <si>
    <t>Opleidingsinschrijving</t>
  </si>
  <si>
    <t>Organisatie</t>
  </si>
  <si>
    <t xml:space="preserve">Organisatie Identificatie </t>
  </si>
  <si>
    <t>Planbare Toets</t>
  </si>
  <si>
    <t>Potentiële Deelnemer</t>
  </si>
  <si>
    <t>Summatief Resultaat</t>
  </si>
  <si>
    <t>Summatieve beoordeling</t>
  </si>
  <si>
    <t>Toetscatalogus</t>
  </si>
  <si>
    <t>Toetsgroep</t>
  </si>
  <si>
    <t>Voor adhoc toetsinschrijvingen</t>
  </si>
  <si>
    <t>Group; Person</t>
  </si>
  <si>
    <t>https://openonderwijsapi.nl/specification/v5/docs.html#tag/group_model; https://openonderwijsapi.nl/specification/v5/docs.html#tag/person_model</t>
  </si>
  <si>
    <t>Toetsregistratie</t>
  </si>
  <si>
    <t>Toetsresultaat</t>
  </si>
  <si>
    <t>Toetsspecificatie</t>
  </si>
  <si>
    <t>Facility</t>
  </si>
  <si>
    <t>Application</t>
  </si>
  <si>
    <t>Grouping</t>
  </si>
  <si>
    <t>Dit procesgebied omvat alle secundaire processen om de mbo-school te laten functioneren. Het is lastig om deze scherp als hoofdprocessen te definiëren. Daarom is gekozen om in het hoofdprocesmodel de bedrijfsfuncties te benoemen. Deze zijn in onderliggende modellen uitgewerkt in processen. De organisatie van deze bedrijfsfuncties in afdelingen is binnen scholen verschillend ingericht.</t>
  </si>
  <si>
    <t>Begeleiding / Ondersteuning</t>
  </si>
  <si>
    <t>BPV</t>
  </si>
  <si>
    <t>Business</t>
  </si>
  <si>
    <t>Diplomering / Waardering</t>
  </si>
  <si>
    <t>Binnen dit procesgebied vindt de validatie plaats dat een student voldoet aan de gestelde kwalificatie en wordt de waardering daarover afgegeven in de vorm van een diploma, een certificaat of andere overeengekomen vorm.</t>
  </si>
  <si>
    <t>Examinering</t>
  </si>
  <si>
    <t>Generieke Appplicaties</t>
  </si>
  <si>
    <t>Generieke applicaties die breed (kunnen) worden toegepast.</t>
  </si>
  <si>
    <t>ICT-Beheer</t>
  </si>
  <si>
    <t>Ondersteuning van de ontwikkeling en instandhouding van de ICT voorzieningen.</t>
  </si>
  <si>
    <t>Informatiegebied</t>
  </si>
  <si>
    <t>Vanuit de hele organisatie vindt uitwisseling van gegevens met derden plaats. Dit is niet beperkt tot een afdeling. Ook de externe verantwoording is een hoofdproces dat in de hele organisatie wordt uitgevoerd. Deze laatste wordt niet gezien als strategisch proces.</t>
  </si>
  <si>
    <t>Dit is het procesgebied waarbij nieuwe studenten worden geworden, de intake plaatsvindt en ze zich officieel inschrijven voor de opleiding. Vanaf hier start hun inhoudelijke opleiding en persoonlijke begeleiding.</t>
  </si>
  <si>
    <t>Koppelvlak CAMBO</t>
  </si>
  <si>
    <t>Koppelvlak RIO</t>
  </si>
  <si>
    <t>Kwalificatiestructuur</t>
  </si>
  <si>
    <t>Onderwijs</t>
  </si>
  <si>
    <t>Dit procesgebied omvat alle processen die het onderwijs direct ondersteunen en mogelijk maken en de registratie en administratie van het onderwijs en de onderwijsprocessen vanuit de school en de student.</t>
  </si>
  <si>
    <t>Dit is het procesgebied waarbij de onderwijsvisie en het aanbod wordt vertaald naar inhoudelijke onderwijsprogramma’s en bepaald wordt welke mensen en middelen daarvoor nodig zijn.</t>
  </si>
  <si>
    <t>Dit is het aanbieden en volgen van het onderwijs. Aan de hand van formatieve resultaten wordt bepaald of een student kan deelnemen aan examinering voor dat onderdeel.</t>
  </si>
  <si>
    <t>Onderwijsaanbod</t>
  </si>
  <si>
    <t>Onderwijsplanning</t>
  </si>
  <si>
    <t>Onderwijsprogramma</t>
  </si>
  <si>
    <t>Onderwijsvraag</t>
  </si>
  <si>
    <t>Onderzoek</t>
  </si>
  <si>
    <t>Innovatie van het onderwijs valt onder dit procesgebied. Ook onderzoek vindt plaats binnen het MBO; de ontwikkeling van de practoraten en de bijdrage aan onderzoek vanuit het MBO aan de samenwerking met het hoger onderwijs.</t>
  </si>
  <si>
    <t>Organisatieplanning</t>
  </si>
  <si>
    <t>Procesgebied</t>
  </si>
  <si>
    <t>Registratie</t>
  </si>
  <si>
    <t>Dit procesgebied omvat het bepalen van de koers, de sturing daarop en het borgen van de kwaliteit van een school. Onderdeel hiervan is ook het ervoor zorgen dat een organisatie in staat is de gewenste veranderingen uit te voeren op een gecontroleerde wijze.</t>
  </si>
  <si>
    <t>De student wordt gedurende zijn of haar onderwijstraject begeleidt; bij het doorlopen van zijn of haar leerroute. Daarnaast is er ondersteuning bij zijn of haar persoonlijke ontwikkeling en zorgvragen.</t>
  </si>
  <si>
    <t>Dit procesgebied omvat de processen op tactisch niveau, en de inrichting en ontwikkeling van de organisatie en de teams binnen de organisatie.</t>
  </si>
  <si>
    <t>Technology Layer</t>
  </si>
  <si>
    <t>Elke inschrijving wordt ook weer afgesloten. In het kader van leven lang ontwikkelen onderhouden mbo-scholen de relatie en bieden passend onderwijs aan deze groep om door te groeien.</t>
  </si>
  <si>
    <t>Uitwisseling examendeelname</t>
  </si>
  <si>
    <t>Uitwisseling examenresultaat</t>
  </si>
  <si>
    <t>Dit procesgebied borgt de aansluiting van een MBO-school met haar omgeving. Wat is de scholingsbehoefte vanuit de arbeidsmarkt en vanuit de student? Hoe sluit het bedrijfsleven aan op het onderwijs? En wat is het beeld dat de buitenwereld van de school heeft? Deze vraagstukken vallen niet binnen het verantwoordelijkheidsgebied van 1 afdeling. Bijna alle medewerkers spelen een belangrijke rol op dit vlak.</t>
  </si>
  <si>
    <t>Mapping Mogelijk</t>
  </si>
  <si>
    <t>id</t>
  </si>
  <si>
    <t>domein_omschrijving</t>
  </si>
  <si>
    <t>proces_omschrijving</t>
  </si>
  <si>
    <t>domein_id</t>
  </si>
  <si>
    <t>hoofdproces_id</t>
  </si>
  <si>
    <t>koppelvlakafkorting</t>
  </si>
  <si>
    <t>omschrijving</t>
  </si>
  <si>
    <t>OKE</t>
  </si>
  <si>
    <t>Onderwijs koppelvlak (digitaal) examinering</t>
  </si>
  <si>
    <t>OKD</t>
  </si>
  <si>
    <t>Onderwijs koppelvlak document management</t>
  </si>
  <si>
    <t>Strategie, beleid en Sturing</t>
  </si>
  <si>
    <t>OK OC-P</t>
  </si>
  <si>
    <t>Onderwijs koppelvlak Onderwijscatalogus en planning</t>
  </si>
  <si>
    <t>OK P-OC</t>
  </si>
  <si>
    <t>Onderwijs koppelvlak Planning en Onderwijscatalogus</t>
  </si>
  <si>
    <t>OK OC-KRS</t>
  </si>
  <si>
    <t>Onderwijs koppelvlak OnderwijsCatalogus en KernRegistratiesysteemStudenten</t>
  </si>
  <si>
    <t>OK KRS-OC</t>
  </si>
  <si>
    <t>Onderwijs koppelvlak KernRegistratiesysteemStudenten en OnderwijsCatalogus</t>
  </si>
  <si>
    <t>Verander- en verbetermanagement</t>
  </si>
  <si>
    <t>ProgrammeOffering</t>
  </si>
  <si>
    <t>ProgrammeOfferingAssociation</t>
  </si>
  <si>
    <t>CourseOfferingAssociation</t>
  </si>
  <si>
    <t>OOAPI v6</t>
  </si>
  <si>
    <t>Onderwijskundige specificatie van een leeractiviteit of serie aan leeractiviteiten. Denk aan beschrijvingen m.b.t. leerdoelen, leertaken, leeruitkomsten.</t>
  </si>
  <si>
    <t>Onderwijskundige specificatie van een toets of examen gelegenheid of serie aan gelegenheden. Denk aan beschrijvingen m.b.t. te maken toets of examen instrument.</t>
  </si>
  <si>
    <t>Onderwijskundige specificatie van bijvoorbeeld: een collectie aan leeractiviteiten; ookwel opleidingsonderdeel, keuzedeel, module.</t>
  </si>
  <si>
    <t>Bovenstaande offering gerelateerd aan een persoon (student/medewerker), i.d.v. een inschrijving of intekening.</t>
  </si>
  <si>
    <t>Bovenstaande offering gerelateerd aan een persoon (student/medewerker), i.d.v. een inschrijving of intekening. Aanwezigheid, maar ook resultaat of beoordeling behaald op toets of examen.</t>
  </si>
  <si>
    <t>Afhankelijk van je datamodel passen meerder configuraties van OOAPI. Weet dat een offering, niet kan bestaan zonder een programme, course of component. En op haar beurt een association niet zonder een offering.</t>
  </si>
  <si>
    <t>Onderwijskundige specificatie van bijvoorbeeld: Keuzedeel, of Leerroute of leerweg, beroepspecifiek ontwerp, leertraject, maar ook opleidingsonderdeel, of opleidingsprogramma.</t>
  </si>
  <si>
    <t>Voor vragen benader OKX.</t>
  </si>
  <si>
    <t>Bovenstaande voorbeelden aangevuld met roosterbare informatie, specifieke plaats en tijd</t>
  </si>
  <si>
    <t>Een leerroute kan bijvoorbeeld al op meerdere manieren gemodeleerd worden: Een programme (modelstaand voor het onderwijsproogramma), met daaronder een programme (voor een keuzedeel) en meerdere programme's voor andere opleidingsonderdelen. Er had ook gekozen kunnen worden voor een programme (voor het onderwijsprogramma) opgedeeld in meerdere courses. De keuze en inrichting hangt af van het flexibiliserings behoefte binnen de instelling.</t>
  </si>
  <si>
    <t>Bovenstaande offering gerelateerd aan een persoon (student/medewerker), i.d.v. een inschrijving of intekening. Aanwezigheid binnen een les of reeks lessen kan hieronder meegenomen worden.</t>
  </si>
  <si>
    <t>Niet alle MORA begrippen zijn te mappen aan de OOAPI. Denk aan BPV gerelateerde concepten.</t>
  </si>
  <si>
    <t>Voorbeeld: pak een willekeurig iets en kijk hoe dit mapt naar OOAPI modellen.</t>
  </si>
  <si>
    <t>netwerk Architectuur werkt momenteel aan uitwerking van detailbeeld. Hoe elke MORA definitie uitmapt naar OOAPI modellen. Klus 18.</t>
  </si>
  <si>
    <t>Offering</t>
  </si>
  <si>
    <t>Specification</t>
  </si>
  <si>
    <t>LearningOutcome</t>
  </si>
  <si>
    <t>group</t>
  </si>
  <si>
    <t>Object</t>
  </si>
  <si>
    <t>Persoon(student/medewerker) gekoppeld aan/ingeschreven op een Programme of Course. Kan worden afgesloten met resultaten.</t>
  </si>
  <si>
    <t>Enrolments/Association</t>
  </si>
  <si>
    <t>Inschrijving van persoon(student/medewerker) op een (serie van) toets(en) of examen(s). Te voorzien van resultaat en aanwezigheid per poging</t>
  </si>
  <si>
    <t>Inschrijving van persoon(student/medewerker) op een (serie van) leeractiviteiten. Te voorzien van aanwezigheid.</t>
  </si>
  <si>
    <t>Elke programme, course, learning-,testcomponent staat in dienst van een Leeruitkomst. Kan worden voorzien van alle revante beschijvende/onderbouwende informatie en onderliggende Leeruitkomsten</t>
  </si>
  <si>
    <t>Het aanbod is een uitbreiding van Programme, Course, Learning- en TestComponents voorzien van plan- en inschrijf informatie, zoals plaats en tijd</t>
  </si>
  <si>
    <t>Elke vorm van groepen (Stamgroep, Lesgroep, plaatsingsgroep, toetsgroep, zittingsgroep), altijd verbonden aan een offering</t>
  </si>
  <si>
    <t>Toets of examen gelegenheid of serie aan gelegenheden. Kan worden voorzien van alle relevante beschijvende/onderbouwende informatie en onderliggende TestComponents</t>
  </si>
  <si>
    <t>Leeractiviteit of serie aan leeractiviteiten. Kan worden voorzien van alle relevante beschijvende/onderbouwende informatie en onderliggende LearningComponents</t>
  </si>
  <si>
    <t>Collectie van samenhangende leeractiviteiten;  ookwel opleidingsonderdeel, keuzedeel, module. Kan worden voorzien van alle relevante beschijvende/onderbouwende informatie en onderliggende learning- en testcomponents</t>
  </si>
  <si>
    <t>Een opleidingsprogramma, (nominale) leerroute/leertraject of keuzedeel. Kan worden voorzien van alle relevante beschijvende/onderbouwende informatie en onderliggende Programmes, Courses, learning- en testcomponents</t>
  </si>
  <si>
    <t>Student of medewerker, voorzien van organisatie-onderdeel en beperkte relevante persoonsinformatie ten behoeve van groeplidmaatschap of een association</t>
  </si>
  <si>
    <t xml:space="preserve">Disclaimer: </t>
  </si>
  <si>
    <t>Bovenstaande concepten staan visueel uitgelegd in de volgende praatplaat: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</si>
</sst>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u/>
      <sz val="11"/>
      <color theme="10"/>
      <name val="Calibri"/>
      <family val="2"/>
    </font>
    <font>
      <b/>
      <sz val="13.5"/>
      <color theme="1"/>
      <name val="Calibri"/>
      <family val="2"/>
      <scheme val="minor"/>
    </font>
    <font>
      <sz val="11"/>
      <color rgb="FF000000"/>
      <name val="Calibri"/>
      <family val="2"/>
      <scheme val="minor"/>
    </font>
    <font>
      <b/>
      <sz val="11"/>
      <color rgb="FF000000"/>
      <name val="Calibri"/>
      <family val="2"/>
      <scheme val="minor"/>
    </font>
    <font>
      <sz val="11"/>
      <color rgb="FF3F3F76"/>
      <name val="Calibri"/>
      <family val="2"/>
      <scheme val="minor"/>
    </font>
    <font>
      <sz val="12"/>
      <color rgb="FF000000"/>
      <name val="Aptos"/>
      <family val="2"/>
    </font>
    <font>
      <b/>
      <sz val="12"/>
      <color rgb="FF000000"/>
      <name val="Aptos"/>
      <family val="2"/>
    </font>
    <font>
      <b/>
      <sz val="14"/>
      <color theme="1"/>
      <name val="Calibri"/>
      <family val="2"/>
      <scheme val="minor"/>
    </font>
    <font>
      <i/>
      <sz val="11"/>
      <color rgb="FFFF0000"/>
      <name val="Calibri"/>
      <family val="2"/>
      <scheme val="minor"/>
    </font>
    <font>
      <sz val="11"/>
      <color theme="1"/>
      <name val="Calibri"/>
      <family val="2"/>
      <scheme val="minor"/>
    </font>
    <font>
      <sz val="11"/>
      <color rgb="FFFF0000"/>
      <name val="Calibri"/>
      <family val="2"/>
      <scheme val="minor"/>
    </font>
    <font>
      <b/>
      <sz val="16"/>
      <color theme="1"/>
      <name val="Calibri"/>
      <family val="2"/>
      <scheme val="minor"/>
    </font>
    <font>
      <sz val="8"/>
      <name val="Calibri"/>
      <family val="2"/>
      <scheme val="minor"/>
    </font>
    <font>
      <i/>
      <sz val="11"/>
      <color theme="1"/>
      <name val="Calibri"/>
      <family val="2"/>
      <scheme val="minor"/>
    </font>
    <font>
      <b/>
      <i/>
      <sz val="11"/>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FFCC99"/>
      </patternFill>
    </fill>
    <fill>
      <patternFill patternType="solid">
        <fgColor rgb="FFFFFFFF"/>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59999389629810485"/>
        <bgColor indexed="65"/>
      </patternFill>
    </fill>
    <fill>
      <patternFill patternType="solid">
        <fgColor theme="9" tint="0.59999389629810485"/>
        <bgColor indexed="65"/>
      </patternFill>
    </fill>
    <fill>
      <patternFill patternType="solid">
        <fgColor rgb="FFFCD5B4"/>
        <bgColor rgb="FF000000"/>
      </patternFill>
    </fill>
    <fill>
      <patternFill patternType="solid">
        <fgColor theme="1"/>
        <bgColor indexed="64"/>
      </patternFill>
    </fill>
    <fill>
      <patternFill patternType="solid">
        <fgColor rgb="FFFFC000"/>
        <bgColor indexed="64"/>
      </patternFill>
    </fill>
    <fill>
      <patternFill patternType="solid">
        <fgColor theme="0"/>
        <bgColor indexed="64"/>
      </patternFill>
    </fill>
  </fills>
  <borders count="23">
    <border>
      <left/>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s>
  <cellStyleXfs count="5">
    <xf numFmtId="0" fontId="0" fillId="0" borderId="0"/>
    <xf numFmtId="0" fontId="2" fillId="0" borderId="0" applyNumberFormat="0" applyFill="0" applyBorder="0" applyAlignment="0" applyProtection="0">
      <alignment vertical="top"/>
      <protection locked="0"/>
    </xf>
    <xf numFmtId="0" fontId="6" fillId="3" borderId="2" applyNumberFormat="0" applyAlignment="0" applyProtection="0"/>
    <xf numFmtId="0" fontId="11" fillId="8" borderId="0" applyNumberFormat="0" applyBorder="0" applyAlignment="0" applyProtection="0"/>
    <xf numFmtId="0" fontId="11" fillId="9" borderId="0" applyNumberFormat="0" applyBorder="0" applyAlignment="0" applyProtection="0"/>
  </cellStyleXfs>
  <cellXfs count="80">
    <xf numFmtId="0" fontId="0" fillId="0" borderId="0" xfId="0"/>
    <xf numFmtId="0" fontId="0" fillId="0" borderId="0" xfId="0" applyAlignment="1">
      <alignment wrapText="1"/>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9" fillId="0" borderId="0" xfId="0" applyFont="1"/>
    <xf numFmtId="0" fontId="8" fillId="4" borderId="4"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6" xfId="0" applyFont="1" applyFill="1" applyBorder="1" applyAlignment="1">
      <alignment horizontal="left" vertical="center" wrapText="1"/>
    </xf>
    <xf numFmtId="0" fontId="7" fillId="4" borderId="3" xfId="0" applyFont="1" applyFill="1" applyBorder="1" applyAlignment="1">
      <alignment horizontal="left" vertical="center" wrapText="1"/>
    </xf>
    <xf numFmtId="14" fontId="7" fillId="4" borderId="3" xfId="0" applyNumberFormat="1" applyFont="1" applyFill="1" applyBorder="1" applyAlignment="1">
      <alignment horizontal="left" vertical="center" wrapText="1"/>
    </xf>
    <xf numFmtId="14" fontId="7" fillId="4" borderId="7" xfId="0" applyNumberFormat="1" applyFont="1" applyFill="1" applyBorder="1" applyAlignment="1">
      <alignment horizontal="left" vertical="center" wrapText="1"/>
    </xf>
    <xf numFmtId="0" fontId="8" fillId="4" borderId="8" xfId="0" applyFont="1" applyFill="1" applyBorder="1" applyAlignment="1">
      <alignment horizontal="left" vertical="center" wrapText="1"/>
    </xf>
    <xf numFmtId="0" fontId="7" fillId="4" borderId="9" xfId="0" applyFont="1" applyFill="1" applyBorder="1" applyAlignment="1">
      <alignment horizontal="left" vertical="center" wrapText="1"/>
    </xf>
    <xf numFmtId="14" fontId="7" fillId="4" borderId="9" xfId="0" applyNumberFormat="1" applyFont="1" applyFill="1" applyBorder="1" applyAlignment="1">
      <alignment horizontal="left" vertical="center" wrapText="1"/>
    </xf>
    <xf numFmtId="0" fontId="7" fillId="4" borderId="10"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xf numFmtId="0" fontId="9" fillId="5" borderId="0" xfId="0" applyFont="1" applyFill="1" applyAlignment="1">
      <alignment vertical="top"/>
    </xf>
    <xf numFmtId="0" fontId="9" fillId="5" borderId="0" xfId="0" applyFont="1" applyFill="1" applyAlignment="1">
      <alignment vertical="top" wrapText="1"/>
    </xf>
    <xf numFmtId="0" fontId="0" fillId="2" borderId="0" xfId="0" applyFill="1" applyAlignment="1">
      <alignment vertical="top"/>
    </xf>
    <xf numFmtId="0" fontId="0" fillId="2" borderId="0" xfId="0" applyFill="1" applyAlignment="1">
      <alignment vertical="top" wrapText="1"/>
    </xf>
    <xf numFmtId="0" fontId="2" fillId="0" borderId="0" xfId="1" applyAlignment="1" applyProtection="1">
      <alignment vertical="top" wrapText="1"/>
    </xf>
    <xf numFmtId="0" fontId="2" fillId="2" borderId="0" xfId="1" applyFill="1" applyAlignment="1" applyProtection="1">
      <alignment vertical="top" wrapText="1"/>
    </xf>
    <xf numFmtId="0" fontId="10" fillId="0" borderId="0" xfId="0" applyFont="1" applyAlignment="1">
      <alignment vertical="top" wrapText="1"/>
    </xf>
    <xf numFmtId="0" fontId="0" fillId="6" borderId="0" xfId="0" applyFill="1" applyAlignment="1">
      <alignment vertical="top"/>
    </xf>
    <xf numFmtId="0" fontId="0" fillId="6" borderId="0" xfId="0" applyFill="1" applyAlignment="1">
      <alignment vertical="top" wrapText="1"/>
    </xf>
    <xf numFmtId="0" fontId="2" fillId="6" borderId="0" xfId="1" applyFill="1" applyAlignment="1" applyProtection="1">
      <alignment vertical="top" wrapText="1"/>
    </xf>
    <xf numFmtId="0" fontId="0" fillId="7" borderId="0" xfId="0" applyFill="1" applyAlignment="1">
      <alignment vertical="top" wrapText="1"/>
    </xf>
    <xf numFmtId="0" fontId="2" fillId="7" borderId="0" xfId="1" applyFill="1" applyAlignment="1" applyProtection="1">
      <alignment vertical="top" wrapText="1"/>
    </xf>
    <xf numFmtId="0" fontId="2" fillId="2" borderId="0" xfId="1" applyFill="1" applyAlignment="1" applyProtection="1">
      <alignment vertical="top"/>
    </xf>
    <xf numFmtId="0" fontId="2" fillId="0" borderId="0" xfId="1" applyAlignment="1" applyProtection="1">
      <alignment vertical="top"/>
    </xf>
    <xf numFmtId="0" fontId="1" fillId="0" borderId="1" xfId="0" applyFont="1" applyBorder="1" applyAlignment="1">
      <alignment horizontal="center"/>
    </xf>
    <xf numFmtId="0" fontId="1" fillId="0" borderId="0" xfId="0" applyFont="1" applyAlignment="1">
      <alignment horizontal="center"/>
    </xf>
    <xf numFmtId="0" fontId="1" fillId="0" borderId="1" xfId="0" applyFont="1" applyBorder="1" applyAlignment="1">
      <alignment horizontal="center" wrapText="1"/>
    </xf>
    <xf numFmtId="0" fontId="2" fillId="0" borderId="0" xfId="1" applyFill="1" applyAlignment="1" applyProtection="1">
      <alignment vertical="top" wrapText="1"/>
    </xf>
    <xf numFmtId="0" fontId="6" fillId="0" borderId="0" xfId="2" applyFill="1" applyBorder="1" applyAlignment="1">
      <alignment vertical="top" wrapText="1"/>
    </xf>
    <xf numFmtId="0" fontId="0" fillId="0" borderId="2" xfId="0" applyBorder="1" applyAlignment="1">
      <alignment vertical="top"/>
    </xf>
    <xf numFmtId="0" fontId="0" fillId="0" borderId="0" xfId="1" applyFont="1" applyFill="1" applyAlignment="1" applyProtection="1">
      <alignment vertical="top"/>
    </xf>
    <xf numFmtId="0" fontId="0" fillId="2" borderId="0" xfId="1" applyFont="1" applyFill="1" applyAlignment="1" applyProtection="1">
      <alignment vertical="top"/>
    </xf>
    <xf numFmtId="0" fontId="0" fillId="7" borderId="0" xfId="1" applyFont="1" applyFill="1" applyAlignment="1" applyProtection="1">
      <alignment vertical="top"/>
    </xf>
    <xf numFmtId="0" fontId="0" fillId="7" borderId="0" xfId="0" applyFill="1" applyAlignment="1">
      <alignment vertical="top"/>
    </xf>
    <xf numFmtId="0" fontId="0" fillId="0" borderId="0" xfId="1" applyFont="1" applyAlignment="1" applyProtection="1">
      <alignment vertical="top"/>
    </xf>
    <xf numFmtId="0" fontId="0" fillId="6" borderId="0" xfId="1" applyFont="1" applyFill="1" applyAlignment="1" applyProtection="1">
      <alignment vertical="top"/>
    </xf>
    <xf numFmtId="0" fontId="13" fillId="0" borderId="0" xfId="0" applyFont="1"/>
    <xf numFmtId="0" fontId="11" fillId="8" borderId="0" xfId="3" applyAlignment="1">
      <alignment vertical="top"/>
    </xf>
    <xf numFmtId="0" fontId="12" fillId="0" borderId="0" xfId="0" applyFont="1" applyAlignment="1">
      <alignment vertical="top" wrapText="1"/>
    </xf>
    <xf numFmtId="0" fontId="11" fillId="9" borderId="0" xfId="4" applyAlignment="1">
      <alignment vertical="top"/>
    </xf>
    <xf numFmtId="0" fontId="11" fillId="9" borderId="0" xfId="4" applyAlignment="1">
      <alignment vertical="top" wrapText="1"/>
    </xf>
    <xf numFmtId="0" fontId="11" fillId="0" borderId="0" xfId="4" applyFill="1" applyAlignment="1">
      <alignment vertical="top"/>
    </xf>
    <xf numFmtId="0" fontId="0" fillId="0" borderId="0" xfId="0" applyAlignment="1">
      <alignment horizontal="left" vertical="center"/>
    </xf>
    <xf numFmtId="0" fontId="0" fillId="0" borderId="0" xfId="0" applyAlignment="1">
      <alignment horizontal="left" vertical="center" wrapText="1"/>
    </xf>
    <xf numFmtId="0" fontId="0" fillId="11" borderId="0" xfId="0" applyFill="1"/>
    <xf numFmtId="0" fontId="0" fillId="11" borderId="0" xfId="0" applyFill="1" applyAlignment="1">
      <alignment wrapText="1"/>
    </xf>
    <xf numFmtId="0" fontId="0" fillId="0" borderId="14" xfId="0" applyBorder="1" applyAlignment="1">
      <alignment vertical="top" wrapText="1"/>
    </xf>
    <xf numFmtId="0" fontId="0" fillId="0" borderId="17"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12" borderId="14" xfId="0" applyFill="1" applyBorder="1"/>
    <xf numFmtId="0" fontId="15" fillId="12" borderId="18" xfId="0" applyFont="1" applyFill="1" applyBorder="1"/>
    <xf numFmtId="0" fontId="0" fillId="0" borderId="18" xfId="0" applyBorder="1" applyAlignment="1">
      <alignment horizontal="left" vertical="center" wrapText="1"/>
    </xf>
    <xf numFmtId="0" fontId="0" fillId="0" borderId="13" xfId="0" applyBorder="1" applyAlignment="1">
      <alignment vertical="center" wrapText="1"/>
    </xf>
    <xf numFmtId="0" fontId="16" fillId="0" borderId="17" xfId="0" applyFont="1" applyBorder="1" applyAlignment="1">
      <alignment horizontal="left" vertical="center"/>
    </xf>
    <xf numFmtId="0" fontId="16" fillId="0" borderId="19" xfId="0" applyFont="1" applyBorder="1"/>
    <xf numFmtId="0" fontId="16" fillId="0" borderId="14" xfId="0" applyFont="1" applyBorder="1"/>
    <xf numFmtId="0" fontId="16" fillId="0" borderId="20" xfId="0" applyFont="1" applyBorder="1"/>
    <xf numFmtId="0" fontId="16" fillId="0" borderId="14" xfId="0" applyFont="1" applyBorder="1" applyAlignment="1">
      <alignment vertical="center"/>
    </xf>
    <xf numFmtId="0" fontId="16" fillId="0" borderId="17" xfId="0" applyFont="1" applyBorder="1" applyAlignment="1">
      <alignment vertical="center"/>
    </xf>
    <xf numFmtId="0" fontId="0" fillId="13" borderId="0" xfId="0" applyFill="1"/>
    <xf numFmtId="0" fontId="16" fillId="0" borderId="16" xfId="0" applyFont="1" applyBorder="1" applyAlignment="1">
      <alignment vertical="center"/>
    </xf>
    <xf numFmtId="0" fontId="0" fillId="0" borderId="22" xfId="0" applyBorder="1" applyAlignment="1">
      <alignment vertical="center" wrapText="1"/>
    </xf>
    <xf numFmtId="0" fontId="6" fillId="10" borderId="0" xfId="0" applyFont="1" applyFill="1" applyAlignment="1">
      <alignment vertical="top" wrapText="1"/>
    </xf>
    <xf numFmtId="0" fontId="0" fillId="0" borderId="11" xfId="0" applyBorder="1" applyAlignment="1">
      <alignment vertical="top" wrapText="1"/>
    </xf>
    <xf numFmtId="0" fontId="4" fillId="10" borderId="0" xfId="0" applyFont="1" applyFill="1" applyAlignment="1">
      <alignment vertical="top"/>
    </xf>
    <xf numFmtId="0" fontId="0" fillId="0" borderId="0" xfId="0" applyAlignment="1">
      <alignment horizontal="center" vertical="center" wrapText="1"/>
    </xf>
    <xf numFmtId="0" fontId="0" fillId="0" borderId="21" xfId="0" applyBorder="1" applyAlignment="1">
      <alignment horizontal="center"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1" fillId="0" borderId="0" xfId="0" applyFont="1"/>
  </cellXfs>
  <cellStyles count="5">
    <cellStyle name="40% - Accent3" xfId="3" builtinId="39"/>
    <cellStyle name="40% - Accent6" xfId="4" builtinId="51"/>
    <cellStyle name="Hyperlink" xfId="1" builtinId="8"/>
    <cellStyle name="Input" xfId="2" builtinId="20"/>
    <cellStyle name="Normal" xfId="0" builtinId="0"/>
  </cellStyles>
  <dxfs count="69">
    <dxf>
      <fill>
        <patternFill>
          <bgColor theme="6" tint="0.59996337778862885"/>
        </patternFill>
      </fill>
    </dxf>
    <dxf>
      <fill>
        <patternFill>
          <bgColor theme="9" tint="0.59996337778862885"/>
        </patternFill>
      </fill>
    </dxf>
    <dxf>
      <fill>
        <patternFill>
          <bgColor theme="6" tint="0.59996337778862885"/>
        </patternFill>
      </fill>
    </dxf>
    <dxf>
      <fill>
        <patternFill>
          <bgColor theme="9" tint="0.59996337778862885"/>
        </patternFill>
      </fill>
    </dxf>
    <dxf>
      <fill>
        <patternFill>
          <bgColor theme="9" tint="0.59996337778862885"/>
        </patternFill>
      </fill>
    </dxf>
    <dxf>
      <fill>
        <patternFill>
          <bgColor theme="6" tint="0.59996337778862885"/>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ont>
        <b/>
        <strike val="0"/>
        <outline val="0"/>
        <shadow val="0"/>
        <u val="none"/>
        <vertAlign val="baseline"/>
        <sz val="14"/>
        <color theme="1"/>
        <name val="Calibri"/>
        <family val="2"/>
        <scheme val="minor"/>
      </font>
      <fill>
        <patternFill patternType="solid">
          <fgColor indexed="64"/>
          <bgColor theme="0" tint="-0.249977111117893"/>
        </patternFill>
      </fill>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ont>
        <b/>
        <strike val="0"/>
        <outline val="0"/>
        <shadow val="0"/>
        <u val="none"/>
        <vertAlign val="baseline"/>
        <sz val="14"/>
        <color theme="1"/>
        <name val="Calibri"/>
        <family val="2"/>
        <scheme val="minor"/>
      </font>
      <fill>
        <patternFill patternType="solid">
          <fgColor indexed="64"/>
          <bgColor theme="0" tint="-0.249977111117893"/>
        </patternFill>
      </fill>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ont>
        <b/>
        <strike val="0"/>
        <outline val="0"/>
        <shadow val="0"/>
        <u val="none"/>
        <vertAlign val="baseline"/>
        <sz val="14"/>
        <color theme="1"/>
        <name val="Calibri"/>
        <family val="2"/>
        <scheme val="minor"/>
      </font>
      <fill>
        <patternFill patternType="solid">
          <fgColor indexed="64"/>
          <bgColor theme="0" tint="-0.249977111117893"/>
        </patternFill>
      </fill>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dxf>
    <dxf>
      <font>
        <b/>
        <strike val="0"/>
        <outline val="0"/>
        <shadow val="0"/>
        <u val="none"/>
        <vertAlign val="baseline"/>
        <sz val="14"/>
        <color theme="1"/>
        <name val="Calibri"/>
        <family val="2"/>
        <scheme val="minor"/>
      </font>
      <fill>
        <patternFill patternType="solid">
          <fgColor indexed="64"/>
          <bgColor theme="0" tint="-0.249977111117893"/>
        </patternFill>
      </fill>
      <alignment horizontal="general" vertical="top" textRotation="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bottom"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protection locked="1" hidden="0"/>
    </dxf>
    <dxf>
      <alignment horizontal="general" vertical="top" textRotation="0" wrapText="1" indent="0" justifyLastLine="0" shrinkToFit="0" readingOrder="0"/>
    </dxf>
    <dxf>
      <alignment horizontal="general" vertical="top" textRotation="0" wrapText="1" indent="0" justifyLastLine="0" shrinkToFit="0" readingOrder="0"/>
      <protection locked="1" hidden="0"/>
    </dxf>
    <dxf>
      <alignment horizontal="general" vertical="top" textRotation="0" wrapText="1" indent="0" justifyLastLine="0" shrinkToFit="0" readingOrder="0"/>
    </dxf>
    <dxf>
      <alignment textRotation="0" wrapText="1"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ill>
        <patternFill patternType="none">
          <fgColor indexed="64"/>
          <bgColor indexed="65"/>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rgb="FF000000"/>
        <name val="Aptos"/>
        <family val="2"/>
        <scheme val="none"/>
      </font>
      <fill>
        <patternFill patternType="solid">
          <fgColor indexed="64"/>
          <bgColor rgb="FFFFFFFF"/>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9524</xdr:rowOff>
    </xdr:from>
    <xdr:to>
      <xdr:col>1</xdr:col>
      <xdr:colOff>15725775</xdr:colOff>
      <xdr:row>50</xdr:row>
      <xdr:rowOff>46459</xdr:rowOff>
    </xdr:to>
    <xdr:pic>
      <xdr:nvPicPr>
        <xdr:cNvPr id="2" name="Picture 1">
          <a:extLst>
            <a:ext uri="{FF2B5EF4-FFF2-40B4-BE49-F238E27FC236}">
              <a16:creationId xmlns:a16="http://schemas.microsoft.com/office/drawing/2014/main" id="{99ED39A5-B8F6-7E75-51A5-F45419C84C9D}"/>
            </a:ext>
          </a:extLst>
        </xdr:cNvPr>
        <xdr:cNvPicPr>
          <a:picLocks noChangeAspect="1"/>
        </xdr:cNvPicPr>
      </xdr:nvPicPr>
      <xdr:blipFill>
        <a:blip xmlns:r="http://schemas.openxmlformats.org/officeDocument/2006/relationships" r:embed="rId1"/>
        <a:stretch>
          <a:fillRect/>
        </a:stretch>
      </xdr:blipFill>
      <xdr:spPr>
        <a:xfrm>
          <a:off x="0" y="4714874"/>
          <a:ext cx="18259425" cy="456131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1126D7-3629-4B50-B998-80E2D1DCBFF2}" name="Table6" displayName="Table6" ref="B2:E6" totalsRowShown="0" headerRowDxfId="68" headerRowBorderDxfId="67" tableBorderDxfId="66" totalsRowBorderDxfId="65">
  <autoFilter ref="B2:E6" xr:uid="{671126D7-3629-4B50-B998-80E2D1DCBFF2}"/>
  <tableColumns count="4">
    <tableColumn id="1" xr3:uid="{25586D43-D0DA-437F-A557-C4EFBEF35454}" name="Versie" dataDxfId="64"/>
    <tableColumn id="2" xr3:uid="{A57E5BB1-F1E5-4341-A015-4740F252987B}" name="Omschrijving" dataDxfId="63"/>
    <tableColumn id="3" xr3:uid="{AA064162-F305-4ED5-9228-148B14163E8C}" name="Datum" dataDxfId="62"/>
    <tableColumn id="4" xr3:uid="{1CA0012D-6541-48D7-9FE7-F1926747190C}" name="Auteur" dataDxfId="6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BACC6-6AA8-4242-AC37-950140617E3B}" name="Table2" displayName="Table2" ref="A6:S755" totalsRowCount="1" headerRowDxfId="60" headerRowBorderDxfId="59" tableBorderDxfId="58">
  <autoFilter ref="A6:S754" xr:uid="{060BACC6-6AA8-4242-AC37-950140617E3B}">
    <filterColumn colId="2">
      <filters blank="1">
        <filter val="ja"/>
        <filter val="Ja*, zie opmerkingen"/>
        <filter val="opnieuw overleggen"/>
      </filters>
    </filterColumn>
    <filterColumn colId="4">
      <filters>
        <filter val="BusinessObject"/>
      </filters>
    </filterColumn>
  </autoFilter>
  <sortState xmlns:xlrd2="http://schemas.microsoft.com/office/spreadsheetml/2017/richdata2" ref="A382:S693">
    <sortCondition sortBy="cellColor" ref="C6:C754" dxfId="57"/>
  </sortState>
  <tableColumns count="19">
    <tableColumn id="9" xr3:uid="{250507CF-15F0-41CC-9E85-63F59A100D50}" name="ID" totalsRowDxfId="56"/>
    <tableColumn id="12" xr3:uid="{E57E43F6-E385-4461-8C66-81073CA15EE4}" name="mapbaar v5" totalsRowFunction="custom" dataDxfId="55" totalsRowDxfId="54">
      <totalsRowFormula>+COUNTA(Table2[mapbaar v5])</totalsRowFormula>
    </tableColumn>
    <tableColumn id="18" xr3:uid="{13AB97D5-E2BB-491E-BD3E-D296E0502399}" name="mapbaar v6" totalsRowFunction="count" dataDxfId="53" totalsRowDxfId="52"/>
    <tableColumn id="1" xr3:uid="{C5BCA682-FFE5-4A39-9828-68DE47483C8B}" name="Definitie" totalsRowDxfId="51"/>
    <tableColumn id="2" xr3:uid="{29CD8309-FA71-47B8-8CF6-A1D31527E566}" name="Type" totalsRowFunction="custom" totalsRowDxfId="50">
      <totalsRowFormula>+COUNTIF(E15:E100,"BusinessObject")</totalsRowFormula>
    </tableColumn>
    <tableColumn id="8" xr3:uid="{494C2393-5CA9-4573-9644-5789B69B0AAE}" name="Hoofdproces" totalsRowDxfId="49"/>
    <tableColumn id="5" xr3:uid="{762DAC50-BE72-453C-ADEF-6F8F1E6C2BF8}" name="Domein" totalsRowDxfId="48"/>
    <tableColumn id="3" xr3:uid="{804CD25D-5320-4290-A380-E2F2901419CE}" name="MORA Definitie" dataDxfId="47" totalsRowDxfId="46"/>
    <tableColumn id="11" xr3:uid="{F2C28245-3E0D-45CF-B307-CCFDECE2F341}" name="Betrokken koppelvlak" dataDxfId="45" totalsRowDxfId="44"/>
    <tableColumn id="4" xr3:uid="{7AD6A184-BD83-4A5C-AD66-37FAC0472464}" name="Operationele Synoniemen" totalsRowDxfId="43"/>
    <tableColumn id="10" xr3:uid="{6DF3A938-C67F-4E38-B819-EED63F2C2B9E}" name="Opmerking" totalsRowDxfId="42"/>
    <tableColumn id="6" xr3:uid="{B084B512-F64E-42E2-A031-F1AA1B7A6208}" name="OOAPI v5 model" totalsRowDxfId="41"/>
    <tableColumn id="7" xr3:uid="{A492A096-6C21-46E2-8DFC-1EC55C3A5549}" name="OOAPI v5 model URL" dataDxfId="40" totalsRowDxfId="39"/>
    <tableColumn id="16" xr3:uid="{DD8EE6D2-C1CE-4F79-8CCC-2222DD96C5CB}" name="Rio" dataDxfId="38" totalsRowDxfId="37" dataCellStyle="Hyperlink"/>
    <tableColumn id="15" xr3:uid="{2433E782-F77F-4E40-B962-B3993AFA5C21}" name="Geaggregeerde informatie" dataDxfId="36" totalsRowDxfId="35" dataCellStyle="Hyperlink"/>
    <tableColumn id="13" xr3:uid="{5FF33F78-F9F0-40E2-8F44-022EF36AD3C3}" name="Opmerkingen mapping v5" dataDxfId="34" totalsRowDxfId="33"/>
    <tableColumn id="19" xr3:uid="{FD9B9E99-667E-486E-88C5-DB1FEBAACA0A}" name="OOAPI v6 Model" dataDxfId="32"/>
    <tableColumn id="20" xr3:uid="{376295AE-D06B-4559-8589-501A84CC5E4E}" name="OOAPI v6 Model URL" dataDxfId="31"/>
    <tableColumn id="21" xr3:uid="{EAAA08FA-4961-4C34-AFAA-3203EE8BB0C4}" name="Opmerkingen mapping v6" dataDxfId="30" totalsRowDxfId="2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EC6F46-6D3F-4F00-BCAD-B78F06D37D1B}" name="Table7" displayName="Table7" ref="A1:B15" totalsRowShown="0">
  <autoFilter ref="A1:B15" xr:uid="{51EC6F46-6D3F-4F00-BCAD-B78F06D37D1B}"/>
  <tableColumns count="2">
    <tableColumn id="1" xr3:uid="{1A1205D1-B2A5-4002-8E25-6240A7FE8E3C}" name="OOAPI v6"/>
    <tableColumn id="2" xr3:uid="{F06425F0-69C4-4ADE-91B3-9CAB4FD107CE}" name="Omschrijving" dataDxfId="2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B98FB-1F88-496B-995F-B25562F4B95E}" name="domein_table" displayName="domein_table" ref="A1:B15" totalsRowShown="0" headerRowDxfId="27" dataDxfId="26" tableBorderDxfId="25">
  <autoFilter ref="A1:B15" xr:uid="{D07B98FB-1F88-496B-995F-B25562F4B95E}"/>
  <tableColumns count="2">
    <tableColumn id="1" xr3:uid="{E94FE553-AA11-4B36-8F8D-A3B1DB8D9208}" name="id" dataDxfId="24"/>
    <tableColumn id="2" xr3:uid="{FD1794F0-4101-43DC-AF3B-8047DA7C08CC}" name="domein_omschrijving" dataDxfId="2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846B93-C254-4423-992E-7E108C72A5BA}" name="hoofdproces_table" displayName="hoofdproces_table" ref="D1:E47" totalsRowShown="0" headerRowDxfId="22" dataDxfId="21" tableBorderDxfId="20">
  <autoFilter ref="D1:E47" xr:uid="{D3846B93-C254-4423-992E-7E108C72A5BA}"/>
  <tableColumns count="2">
    <tableColumn id="1" xr3:uid="{F6ECB58D-1676-48AE-9C63-EC2C5D51ECA4}" name="id" dataDxfId="19"/>
    <tableColumn id="2" xr3:uid="{21B04E16-0415-4EDD-A6BE-CAC0F290C7F1}" name="proces_omschrijving" dataDxfId="18"/>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3793FD1-4A7E-4674-8F86-17689A44C86D}" name="domein_hoofdproces_koppel_table" displayName="domein_hoofdproces_koppel_table" ref="G1:I46" totalsRowShown="0" headerRowDxfId="17" dataDxfId="16" tableBorderDxfId="15">
  <autoFilter ref="G1:I46" xr:uid="{E3793FD1-4A7E-4674-8F86-17689A44C86D}"/>
  <tableColumns count="3">
    <tableColumn id="3" xr3:uid="{337AA39C-DE40-4496-8F25-654EA4CCFA52}" name="id" dataDxfId="14"/>
    <tableColumn id="1" xr3:uid="{92135156-2856-4AF9-A280-FD6A06226080}" name="domein_id" dataDxfId="13"/>
    <tableColumn id="2" xr3:uid="{8D00A18F-FCBE-4551-B8F9-593267707507}" name="hoofdproces_id" dataDxfId="12"/>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0D7FD2-3012-49CE-8E1C-6CDC887B2E35}" name="Table5" displayName="Table5" ref="K1:M8" totalsRowShown="0" headerRowDxfId="11" dataDxfId="10" tableBorderDxfId="9">
  <autoFilter ref="K1:M8" xr:uid="{590D7FD2-3012-49CE-8E1C-6CDC887B2E35}"/>
  <tableColumns count="3">
    <tableColumn id="1" xr3:uid="{728B5526-C801-4718-A233-39DB3473BCF7}" name="id" dataDxfId="8"/>
    <tableColumn id="2" xr3:uid="{698E2D77-B338-4EAB-BA6D-C0393D73F1C2}" name="koppelvlakafkorting" dataDxfId="7"/>
    <tableColumn id="3" xr3:uid="{0894A74F-3EE3-4FB0-BEF1-9105235141BC}" name="omschrijving" dataDxfId="6"/>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openonderwijsapi.nl/specification/v5/docs.html" TargetMode="External"/><Relationship Id="rId21" Type="http://schemas.openxmlformats.org/officeDocument/2006/relationships/hyperlink" Target="https://openonderwijsapi.nl/specification/v5/docs.html" TargetMode="External"/><Relationship Id="rId42" Type="http://schemas.openxmlformats.org/officeDocument/2006/relationships/hyperlink" Target="https://openonderwijsapi.nl/specification/v5/docs.html" TargetMode="External"/><Relationship Id="rId63" Type="http://schemas.openxmlformats.org/officeDocument/2006/relationships/hyperlink" Target="https://openonderwijsapi.nl/specification/v5/docs.html" TargetMode="External"/><Relationship Id="rId84" Type="http://schemas.openxmlformats.org/officeDocument/2006/relationships/hyperlink" Target="https://openonderwijsapi.nl/specification/v5/docs.html" TargetMode="External"/><Relationship Id="rId138" Type="http://schemas.openxmlformats.org/officeDocument/2006/relationships/hyperlink" Target="https://openonderwijsapi.nl/specification/v5/docs.html" TargetMode="External"/><Relationship Id="rId159" Type="http://schemas.openxmlformats.org/officeDocument/2006/relationships/hyperlink" Target="https://openonderwijsapi.nl/specification/v5/docs.html" TargetMode="External"/><Relationship Id="rId170" Type="http://schemas.openxmlformats.org/officeDocument/2006/relationships/hyperlink" Target="https://openonderwijsapi.nl/specification/v5/docs.html" TargetMode="External"/><Relationship Id="rId191" Type="http://schemas.openxmlformats.org/officeDocument/2006/relationships/hyperlink" Target="https://openonderwijsapi.nl/specification/v5/docs.html" TargetMode="External"/><Relationship Id="rId205" Type="http://schemas.openxmlformats.org/officeDocument/2006/relationships/hyperlink" Target="https://openonderwijsapi.nl/specification/v5/docs.html" TargetMode="External"/><Relationship Id="rId226" Type="http://schemas.openxmlformats.org/officeDocument/2006/relationships/hyperlink" Target="https://openonderwijsapi.nl/" TargetMode="External"/><Relationship Id="rId107" Type="http://schemas.openxmlformats.org/officeDocument/2006/relationships/hyperlink" Target="https://openonderwijsapi.nl/specification/v5/docs.html" TargetMode="External"/><Relationship Id="rId11" Type="http://schemas.openxmlformats.org/officeDocument/2006/relationships/hyperlink" Target="https://openonderwijsapi.nl/specification/v5/docs.html" TargetMode="External"/><Relationship Id="rId32" Type="http://schemas.openxmlformats.org/officeDocument/2006/relationships/hyperlink" Target="https://openonderwijsapi.nl/specification/v5/docs.html" TargetMode="External"/><Relationship Id="rId53" Type="http://schemas.openxmlformats.org/officeDocument/2006/relationships/hyperlink" Target="https://openonderwijsapi.nl/specification/v5/docs.html" TargetMode="External"/><Relationship Id="rId74" Type="http://schemas.openxmlformats.org/officeDocument/2006/relationships/hyperlink" Target="https://openonderwijsapi.nl/specification/v5/docs.html" TargetMode="External"/><Relationship Id="rId128" Type="http://schemas.openxmlformats.org/officeDocument/2006/relationships/hyperlink" Target="https://openonderwijsapi.nl/specification/v5/docs.html" TargetMode="External"/><Relationship Id="rId149" Type="http://schemas.openxmlformats.org/officeDocument/2006/relationships/hyperlink" Target="https://openonderwijsapi.nl/specification/v5/docs.html" TargetMode="External"/><Relationship Id="rId5" Type="http://schemas.openxmlformats.org/officeDocument/2006/relationships/hyperlink" Target="https://openonderwijsapi.nl/specification/v5/docs.html" TargetMode="External"/><Relationship Id="rId95" Type="http://schemas.openxmlformats.org/officeDocument/2006/relationships/hyperlink" Target="https://openonderwijsapi.nl/specification/v5/docs.html" TargetMode="External"/><Relationship Id="rId160" Type="http://schemas.openxmlformats.org/officeDocument/2006/relationships/hyperlink" Target="https://openonderwijsapi.nl/specification/v5/docs.html" TargetMode="External"/><Relationship Id="rId181" Type="http://schemas.openxmlformats.org/officeDocument/2006/relationships/hyperlink" Target="https://openonderwijsapi.nl/specification/v5/docs.html" TargetMode="External"/><Relationship Id="rId216" Type="http://schemas.openxmlformats.org/officeDocument/2006/relationships/hyperlink" Target="https://openonderwijsapi.nl/specification/v5/docs.html" TargetMode="External"/><Relationship Id="rId237" Type="http://schemas.openxmlformats.org/officeDocument/2006/relationships/table" Target="../tables/table2.xml"/><Relationship Id="rId22" Type="http://schemas.openxmlformats.org/officeDocument/2006/relationships/hyperlink" Target="https://openonderwijsapi.nl/specification/v5/docs.html" TargetMode="External"/><Relationship Id="rId43" Type="http://schemas.openxmlformats.org/officeDocument/2006/relationships/hyperlink" Target="https://openonderwijsapi.nl/specification/v5/docs.html" TargetMode="External"/><Relationship Id="rId64" Type="http://schemas.openxmlformats.org/officeDocument/2006/relationships/hyperlink" Target="https://openonderwijsapi.nl/specification/v5/docs.html" TargetMode="External"/><Relationship Id="rId118" Type="http://schemas.openxmlformats.org/officeDocument/2006/relationships/hyperlink" Target="https://openonderwijsapi.nl/specification/v5/docs.html" TargetMode="External"/><Relationship Id="rId139" Type="http://schemas.openxmlformats.org/officeDocument/2006/relationships/hyperlink" Target="https://openonderwijsapi.nl/specification/v5/docs.html" TargetMode="External"/><Relationship Id="rId85" Type="http://schemas.openxmlformats.org/officeDocument/2006/relationships/hyperlink" Target="https://openonderwijsapi.nl/specification/v5/docs.html" TargetMode="External"/><Relationship Id="rId150" Type="http://schemas.openxmlformats.org/officeDocument/2006/relationships/hyperlink" Target="https://openonderwijsapi.nl/specification/v5/docs.html" TargetMode="External"/><Relationship Id="rId171" Type="http://schemas.openxmlformats.org/officeDocument/2006/relationships/hyperlink" Target="https://openonderwijsapi.nl/specification/v5/docs.html" TargetMode="External"/><Relationship Id="rId192" Type="http://schemas.openxmlformats.org/officeDocument/2006/relationships/hyperlink" Target="https://openonderwijsapi.nl/specification/v5/docs.html" TargetMode="External"/><Relationship Id="rId206" Type="http://schemas.openxmlformats.org/officeDocument/2006/relationships/hyperlink" Target="https://openonderwijsapi.nl/specification/v5/docs.html" TargetMode="External"/><Relationship Id="rId227" Type="http://schemas.openxmlformats.org/officeDocument/2006/relationships/hyperlink" Target="https://openonderwijsapi.nl/" TargetMode="External"/><Relationship Id="rId12" Type="http://schemas.openxmlformats.org/officeDocument/2006/relationships/hyperlink" Target="https://openonderwijsapi.nl/specification/v5/docs.html" TargetMode="External"/><Relationship Id="rId33" Type="http://schemas.openxmlformats.org/officeDocument/2006/relationships/hyperlink" Target="https://openonderwijsapi.nl/specification/v5/docs.html" TargetMode="External"/><Relationship Id="rId108" Type="http://schemas.openxmlformats.org/officeDocument/2006/relationships/hyperlink" Target="https://openonderwijsapi.nl/specification/v5/docs.html" TargetMode="External"/><Relationship Id="rId129" Type="http://schemas.openxmlformats.org/officeDocument/2006/relationships/hyperlink" Target="https://openonderwijsapi.nl/specification/v5/docs.html" TargetMode="External"/><Relationship Id="rId54" Type="http://schemas.openxmlformats.org/officeDocument/2006/relationships/hyperlink" Target="https://openonderwijsapi.nl/specification/v5/docs.html" TargetMode="External"/><Relationship Id="rId75" Type="http://schemas.openxmlformats.org/officeDocument/2006/relationships/hyperlink" Target="https://openonderwijsapi.nl/specification/v5/docs.html" TargetMode="External"/><Relationship Id="rId96" Type="http://schemas.openxmlformats.org/officeDocument/2006/relationships/hyperlink" Target="https://openonderwijsapi.nl/specification/v5/docs.html" TargetMode="External"/><Relationship Id="rId140" Type="http://schemas.openxmlformats.org/officeDocument/2006/relationships/hyperlink" Target="https://openonderwijsapi.nl/specification/v5/docs.html" TargetMode="External"/><Relationship Id="rId161" Type="http://schemas.openxmlformats.org/officeDocument/2006/relationships/hyperlink" Target="https://openonderwijsapi.nl/specification/v5/docs.html" TargetMode="External"/><Relationship Id="rId182" Type="http://schemas.openxmlformats.org/officeDocument/2006/relationships/hyperlink" Target="https://openonderwijsapi.nl/specification/v5/docs.html" TargetMode="External"/><Relationship Id="rId217" Type="http://schemas.openxmlformats.org/officeDocument/2006/relationships/hyperlink" Target="https://openonderwijsapi.nl/specification/v5/docs.html" TargetMode="External"/><Relationship Id="rId6" Type="http://schemas.openxmlformats.org/officeDocument/2006/relationships/hyperlink" Target="https://openonderwijsapi.nl/specification/v5/docs.html" TargetMode="External"/><Relationship Id="rId23" Type="http://schemas.openxmlformats.org/officeDocument/2006/relationships/hyperlink" Target="https://openonderwijsapi.nl/specification/v5/docs.html" TargetMode="External"/><Relationship Id="rId119" Type="http://schemas.openxmlformats.org/officeDocument/2006/relationships/hyperlink" Target="https://openonderwijsapi.nl/specification/v5/docs.html" TargetMode="External"/><Relationship Id="rId44" Type="http://schemas.openxmlformats.org/officeDocument/2006/relationships/hyperlink" Target="https://openonderwijsapi.nl/specification/v5/docs.html" TargetMode="External"/><Relationship Id="rId65" Type="http://schemas.openxmlformats.org/officeDocument/2006/relationships/hyperlink" Target="https://openonderwijsapi.nl/specification/v5/docs.html" TargetMode="External"/><Relationship Id="rId86" Type="http://schemas.openxmlformats.org/officeDocument/2006/relationships/hyperlink" Target="https://openonderwijsapi.nl/specification/v5/docs.html" TargetMode="External"/><Relationship Id="rId130" Type="http://schemas.openxmlformats.org/officeDocument/2006/relationships/hyperlink" Target="https://openonderwijsapi.nl/specification/v5/docs.html" TargetMode="External"/><Relationship Id="rId151" Type="http://schemas.openxmlformats.org/officeDocument/2006/relationships/hyperlink" Target="https://openonderwijsapi.nl/specification/v5/docs.html" TargetMode="External"/><Relationship Id="rId172" Type="http://schemas.openxmlformats.org/officeDocument/2006/relationships/hyperlink" Target="https://openonderwijsapi.nl/specification/v5/docs.html" TargetMode="External"/><Relationship Id="rId193" Type="http://schemas.openxmlformats.org/officeDocument/2006/relationships/hyperlink" Target="https://openonderwijsapi.nl/specification/v5/docs.html" TargetMode="External"/><Relationship Id="rId207" Type="http://schemas.openxmlformats.org/officeDocument/2006/relationships/hyperlink" Target="https://openonderwijsapi.nl/specification/v5/docs.html" TargetMode="External"/><Relationship Id="rId228" Type="http://schemas.openxmlformats.org/officeDocument/2006/relationships/hyperlink" Target="https://openonderwijsapi.nl/specification/v5/docs.html" TargetMode="External"/><Relationship Id="rId13" Type="http://schemas.openxmlformats.org/officeDocument/2006/relationships/hyperlink" Target="https://openonderwijsapi.nl/specification/v5/docs.html" TargetMode="External"/><Relationship Id="rId109" Type="http://schemas.openxmlformats.org/officeDocument/2006/relationships/hyperlink" Target="https://openonderwijsapi.nl/specification/v5/docs.html" TargetMode="External"/><Relationship Id="rId34" Type="http://schemas.openxmlformats.org/officeDocument/2006/relationships/hyperlink" Target="https://openonderwijsapi.nl/specification/v5/docs.html" TargetMode="External"/><Relationship Id="rId55" Type="http://schemas.openxmlformats.org/officeDocument/2006/relationships/hyperlink" Target="https://openonderwijsapi.nl/specification/v5/docs.html" TargetMode="External"/><Relationship Id="rId76" Type="http://schemas.openxmlformats.org/officeDocument/2006/relationships/hyperlink" Target="https://openonderwijsapi.nl/specification/v5/docs.html" TargetMode="External"/><Relationship Id="rId97" Type="http://schemas.openxmlformats.org/officeDocument/2006/relationships/hyperlink" Target="https://openonderwijsapi.nl/specification/v5/docs.html" TargetMode="External"/><Relationship Id="rId120" Type="http://schemas.openxmlformats.org/officeDocument/2006/relationships/hyperlink" Target="https://openonderwijsapi.nl/specification/v5/docs.html" TargetMode="External"/><Relationship Id="rId141" Type="http://schemas.openxmlformats.org/officeDocument/2006/relationships/hyperlink" Target="https://openonderwijsapi.nl/specification/v5/docs.html" TargetMode="External"/><Relationship Id="rId7" Type="http://schemas.openxmlformats.org/officeDocument/2006/relationships/hyperlink" Target="https://openonderwijsapi.nl/specification/v5/docs.html" TargetMode="External"/><Relationship Id="rId162" Type="http://schemas.openxmlformats.org/officeDocument/2006/relationships/hyperlink" Target="https://openonderwijsapi.nl/specification/v5/docs.html" TargetMode="External"/><Relationship Id="rId183" Type="http://schemas.openxmlformats.org/officeDocument/2006/relationships/hyperlink" Target="https://openonderwijsapi.nl/specification/v5/docs.html" TargetMode="External"/><Relationship Id="rId218" Type="http://schemas.openxmlformats.org/officeDocument/2006/relationships/hyperlink" Target="https://openonderwijsapi.nl/specification/v5/docs.html" TargetMode="External"/><Relationship Id="rId24" Type="http://schemas.openxmlformats.org/officeDocument/2006/relationships/hyperlink" Target="https://openonderwijsapi.nl/specification/v5/docs.html" TargetMode="External"/><Relationship Id="rId45" Type="http://schemas.openxmlformats.org/officeDocument/2006/relationships/hyperlink" Target="https://openonderwijsapi.nl/specification/v5/docs.html" TargetMode="External"/><Relationship Id="rId66" Type="http://schemas.openxmlformats.org/officeDocument/2006/relationships/hyperlink" Target="https://openonderwijsapi.nl/specification/v5/docs.html" TargetMode="External"/><Relationship Id="rId87" Type="http://schemas.openxmlformats.org/officeDocument/2006/relationships/hyperlink" Target="https://openonderwijsapi.nl/specification/v5/docs.html" TargetMode="External"/><Relationship Id="rId110" Type="http://schemas.openxmlformats.org/officeDocument/2006/relationships/hyperlink" Target="https://openonderwijsapi.nl/specification/v5/docs.html" TargetMode="External"/><Relationship Id="rId131" Type="http://schemas.openxmlformats.org/officeDocument/2006/relationships/hyperlink" Target="https://openonderwijsapi.nl/specification/v5/docs.html" TargetMode="External"/><Relationship Id="rId152" Type="http://schemas.openxmlformats.org/officeDocument/2006/relationships/hyperlink" Target="https://openonderwijsapi.nl/specification/v5/docs.html" TargetMode="External"/><Relationship Id="rId173" Type="http://schemas.openxmlformats.org/officeDocument/2006/relationships/hyperlink" Target="https://openonderwijsapi.nl/specification/v5/docs.html" TargetMode="External"/><Relationship Id="rId194" Type="http://schemas.openxmlformats.org/officeDocument/2006/relationships/hyperlink" Target="https://openonderwijsapi.nl/specification/v5/docs.html" TargetMode="External"/><Relationship Id="rId208" Type="http://schemas.openxmlformats.org/officeDocument/2006/relationships/hyperlink" Target="https://openonderwijsapi.nl/specification/v5/docs.html" TargetMode="External"/><Relationship Id="rId229" Type="http://schemas.openxmlformats.org/officeDocument/2006/relationships/hyperlink" Target="https://openonderwijsapi.nl/specification/v5/docs.html" TargetMode="External"/><Relationship Id="rId14" Type="http://schemas.openxmlformats.org/officeDocument/2006/relationships/hyperlink" Target="https://openonderwijsapi.nl/specification/v5/docs.html" TargetMode="External"/><Relationship Id="rId35" Type="http://schemas.openxmlformats.org/officeDocument/2006/relationships/hyperlink" Target="https://openonderwijsapi.nl/specification/v5/docs.html" TargetMode="External"/><Relationship Id="rId56" Type="http://schemas.openxmlformats.org/officeDocument/2006/relationships/hyperlink" Target="https://openonderwijsapi.nl/specification/v5/docs.html" TargetMode="External"/><Relationship Id="rId77" Type="http://schemas.openxmlformats.org/officeDocument/2006/relationships/hyperlink" Target="https://openonderwijsapi.nl/specification/v5/docs.html" TargetMode="External"/><Relationship Id="rId100" Type="http://schemas.openxmlformats.org/officeDocument/2006/relationships/hyperlink" Target="https://openonderwijsapi.nl/specification/v5/docs.html" TargetMode="External"/><Relationship Id="rId8" Type="http://schemas.openxmlformats.org/officeDocument/2006/relationships/hyperlink" Target="https://openonderwijsapi.nl/specification/v5/docs.html" TargetMode="External"/><Relationship Id="rId98" Type="http://schemas.openxmlformats.org/officeDocument/2006/relationships/hyperlink" Target="https://openonderwijsapi.nl/specification/v5/docs.html" TargetMode="External"/><Relationship Id="rId121" Type="http://schemas.openxmlformats.org/officeDocument/2006/relationships/hyperlink" Target="https://openonderwijsapi.nl/specification/v5/docs.html" TargetMode="External"/><Relationship Id="rId142" Type="http://schemas.openxmlformats.org/officeDocument/2006/relationships/hyperlink" Target="https://openonderwijsapi.nl/specification/v5/docs.html" TargetMode="External"/><Relationship Id="rId163" Type="http://schemas.openxmlformats.org/officeDocument/2006/relationships/hyperlink" Target="https://openonderwijsapi.nl/specification/v5/docs.html" TargetMode="External"/><Relationship Id="rId184" Type="http://schemas.openxmlformats.org/officeDocument/2006/relationships/hyperlink" Target="https://openonderwijsapi.nl/specification/v5/docs.html" TargetMode="External"/><Relationship Id="rId219" Type="http://schemas.openxmlformats.org/officeDocument/2006/relationships/hyperlink" Target="https://openonderwijsapi.nl/specification/v5/docs.html" TargetMode="External"/><Relationship Id="rId230" Type="http://schemas.openxmlformats.org/officeDocument/2006/relationships/hyperlink" Target="https://openonderwijsapi.nl/specification/v5/docs.html" TargetMode="External"/><Relationship Id="rId25" Type="http://schemas.openxmlformats.org/officeDocument/2006/relationships/hyperlink" Target="https://openonderwijsapi.nl/specification/v5/docs.html" TargetMode="External"/><Relationship Id="rId46" Type="http://schemas.openxmlformats.org/officeDocument/2006/relationships/hyperlink" Target="https://openonderwijsapi.nl/specification/v5/docs.html" TargetMode="External"/><Relationship Id="rId67" Type="http://schemas.openxmlformats.org/officeDocument/2006/relationships/hyperlink" Target="https://openonderwijsapi.nl/specification/v5/docs.html" TargetMode="External"/><Relationship Id="rId88" Type="http://schemas.openxmlformats.org/officeDocument/2006/relationships/hyperlink" Target="https://openonderwijsapi.nl/specification/v5/docs.html" TargetMode="External"/><Relationship Id="rId111" Type="http://schemas.openxmlformats.org/officeDocument/2006/relationships/hyperlink" Target="https://openonderwijsapi.nl/specification/v5/docs.html" TargetMode="External"/><Relationship Id="rId132" Type="http://schemas.openxmlformats.org/officeDocument/2006/relationships/hyperlink" Target="https://openonderwijsapi.nl/specification/v5/docs.html" TargetMode="External"/><Relationship Id="rId153" Type="http://schemas.openxmlformats.org/officeDocument/2006/relationships/hyperlink" Target="https://openonderwijsapi.nl/specification/v5/docs.html" TargetMode="External"/><Relationship Id="rId174" Type="http://schemas.openxmlformats.org/officeDocument/2006/relationships/hyperlink" Target="https://openonderwijsapi.nl/specification/v5/docs.html" TargetMode="External"/><Relationship Id="rId195" Type="http://schemas.openxmlformats.org/officeDocument/2006/relationships/hyperlink" Target="https://openonderwijsapi.nl/specification/v5/docs.html" TargetMode="External"/><Relationship Id="rId209" Type="http://schemas.openxmlformats.org/officeDocument/2006/relationships/hyperlink" Target="https://openonderwijsapi.nl/specification/v5/docs.html" TargetMode="External"/><Relationship Id="rId190" Type="http://schemas.openxmlformats.org/officeDocument/2006/relationships/hyperlink" Target="https://openonderwijsapi.nl/specification/v5/docs.html" TargetMode="External"/><Relationship Id="rId204" Type="http://schemas.openxmlformats.org/officeDocument/2006/relationships/hyperlink" Target="https://openonderwijsapi.nl/specification/v5/docs.html" TargetMode="External"/><Relationship Id="rId220" Type="http://schemas.openxmlformats.org/officeDocument/2006/relationships/hyperlink" Target="https://openonderwijsapi.nl/specification/v5/docs.html" TargetMode="External"/><Relationship Id="rId225" Type="http://schemas.openxmlformats.org/officeDocument/2006/relationships/hyperlink" Target="https://openonderwijsapi.nl/specification/v5/docs.html" TargetMode="External"/><Relationship Id="rId15" Type="http://schemas.openxmlformats.org/officeDocument/2006/relationships/hyperlink" Target="https://openonderwijsapi.nl/specification/v5/docs.html" TargetMode="External"/><Relationship Id="rId36" Type="http://schemas.openxmlformats.org/officeDocument/2006/relationships/hyperlink" Target="https://openonderwijsapi.nl/specification/v5/docs.html" TargetMode="External"/><Relationship Id="rId57" Type="http://schemas.openxmlformats.org/officeDocument/2006/relationships/hyperlink" Target="https://openonderwijsapi.nl/specification/v5/docs.html" TargetMode="External"/><Relationship Id="rId106" Type="http://schemas.openxmlformats.org/officeDocument/2006/relationships/hyperlink" Target="https://openonderwijsapi.nl/specification/v5/docs.html" TargetMode="External"/><Relationship Id="rId127" Type="http://schemas.openxmlformats.org/officeDocument/2006/relationships/hyperlink" Target="https://openonderwijsapi.nl/specification/v5/docs.html" TargetMode="External"/><Relationship Id="rId10" Type="http://schemas.openxmlformats.org/officeDocument/2006/relationships/hyperlink" Target="https://openonderwijsapi.nl/specification/v5/docs.html" TargetMode="External"/><Relationship Id="rId31" Type="http://schemas.openxmlformats.org/officeDocument/2006/relationships/hyperlink" Target="https://openonderwijsapi.nl/specification/v5/docs.html" TargetMode="External"/><Relationship Id="rId52" Type="http://schemas.openxmlformats.org/officeDocument/2006/relationships/hyperlink" Target="https://openonderwijsapi.nl/specification/v5/docs.html" TargetMode="External"/><Relationship Id="rId73" Type="http://schemas.openxmlformats.org/officeDocument/2006/relationships/hyperlink" Target="https://openonderwijsapi.nl/specification/v5/docs.html" TargetMode="External"/><Relationship Id="rId78" Type="http://schemas.openxmlformats.org/officeDocument/2006/relationships/hyperlink" Target="https://openonderwijsapi.nl/specification/v5/docs.html" TargetMode="External"/><Relationship Id="rId94" Type="http://schemas.openxmlformats.org/officeDocument/2006/relationships/hyperlink" Target="https://openonderwijsapi.nl/specification/v5/docs.html" TargetMode="External"/><Relationship Id="rId99" Type="http://schemas.openxmlformats.org/officeDocument/2006/relationships/hyperlink" Target="https://openonderwijsapi.nl/specification/v5/docs.html" TargetMode="External"/><Relationship Id="rId101" Type="http://schemas.openxmlformats.org/officeDocument/2006/relationships/hyperlink" Target="https://openonderwijsapi.nl/specification/v5/docs.html" TargetMode="External"/><Relationship Id="rId122" Type="http://schemas.openxmlformats.org/officeDocument/2006/relationships/hyperlink" Target="https://openonderwijsapi.nl/specification/v5/docs.html" TargetMode="External"/><Relationship Id="rId143" Type="http://schemas.openxmlformats.org/officeDocument/2006/relationships/hyperlink" Target="https://openonderwijsapi.nl/specification/v5/docs.html" TargetMode="External"/><Relationship Id="rId148" Type="http://schemas.openxmlformats.org/officeDocument/2006/relationships/hyperlink" Target="https://openonderwijsapi.nl/specification/v5/docs.html" TargetMode="External"/><Relationship Id="rId164" Type="http://schemas.openxmlformats.org/officeDocument/2006/relationships/hyperlink" Target="https://openonderwijsapi.nl/specification/v5/docs.html" TargetMode="External"/><Relationship Id="rId169" Type="http://schemas.openxmlformats.org/officeDocument/2006/relationships/hyperlink" Target="https://openonderwijsapi.nl/specification/v5/docs.html" TargetMode="External"/><Relationship Id="rId185" Type="http://schemas.openxmlformats.org/officeDocument/2006/relationships/hyperlink" Target="https://openonderwijsapi.nl/specification/v5/docs.html" TargetMode="External"/><Relationship Id="rId4" Type="http://schemas.openxmlformats.org/officeDocument/2006/relationships/hyperlink" Target="https://openonderwijsapi.nl/specification/v5/docs.html" TargetMode="External"/><Relationship Id="rId9" Type="http://schemas.openxmlformats.org/officeDocument/2006/relationships/hyperlink" Target="https://openonderwijsapi.nl/specification/v5/docs.html" TargetMode="External"/><Relationship Id="rId180" Type="http://schemas.openxmlformats.org/officeDocument/2006/relationships/hyperlink" Target="https://openonderwijsapi.nl/specification/v5/docs.html" TargetMode="External"/><Relationship Id="rId210" Type="http://schemas.openxmlformats.org/officeDocument/2006/relationships/hyperlink" Target="https://openonderwijsapi.nl/specification/v5/docs.html" TargetMode="External"/><Relationship Id="rId215" Type="http://schemas.openxmlformats.org/officeDocument/2006/relationships/hyperlink" Target="https://openonderwijsapi.nl/specification/v5/docs.html" TargetMode="External"/><Relationship Id="rId236" Type="http://schemas.openxmlformats.org/officeDocument/2006/relationships/printerSettings" Target="../printerSettings/printerSettings2.bin"/><Relationship Id="rId26" Type="http://schemas.openxmlformats.org/officeDocument/2006/relationships/hyperlink" Target="https://openonderwijsapi.nl/specification/v5/docs.html" TargetMode="External"/><Relationship Id="rId231" Type="http://schemas.openxmlformats.org/officeDocument/2006/relationships/hyperlink" Target="https://openonderwijsapi.nl/specification/v5/docs.html" TargetMode="External"/><Relationship Id="rId47" Type="http://schemas.openxmlformats.org/officeDocument/2006/relationships/hyperlink" Target="https://openonderwijsapi.nl/specification/v5/docs.html" TargetMode="External"/><Relationship Id="rId68" Type="http://schemas.openxmlformats.org/officeDocument/2006/relationships/hyperlink" Target="https://openonderwijsapi.nl/specification/v5/docs.html" TargetMode="External"/><Relationship Id="rId89" Type="http://schemas.openxmlformats.org/officeDocument/2006/relationships/hyperlink" Target="https://openonderwijsapi.nl/specification/v5/docs.html" TargetMode="External"/><Relationship Id="rId112" Type="http://schemas.openxmlformats.org/officeDocument/2006/relationships/hyperlink" Target="https://openonderwijsapi.nl/specification/v5/docs.html" TargetMode="External"/><Relationship Id="rId133" Type="http://schemas.openxmlformats.org/officeDocument/2006/relationships/hyperlink" Target="https://openonderwijsapi.nl/specification/v5/docs.html" TargetMode="External"/><Relationship Id="rId154" Type="http://schemas.openxmlformats.org/officeDocument/2006/relationships/hyperlink" Target="https://openonderwijsapi.nl/specification/v5/docs.html" TargetMode="External"/><Relationship Id="rId175" Type="http://schemas.openxmlformats.org/officeDocument/2006/relationships/hyperlink" Target="https://openonderwijsapi.nl/specification/v5/docs.html" TargetMode="External"/><Relationship Id="rId196" Type="http://schemas.openxmlformats.org/officeDocument/2006/relationships/hyperlink" Target="https://openonderwijsapi.nl/specification/v5/docs.html" TargetMode="External"/><Relationship Id="rId200" Type="http://schemas.openxmlformats.org/officeDocument/2006/relationships/hyperlink" Target="https://openonderwijsapi.nl/specification/v5/docs.html" TargetMode="External"/><Relationship Id="rId16" Type="http://schemas.openxmlformats.org/officeDocument/2006/relationships/hyperlink" Target="https://openonderwijsapi.nl/specification/v5/docs.html" TargetMode="External"/><Relationship Id="rId221" Type="http://schemas.openxmlformats.org/officeDocument/2006/relationships/hyperlink" Target="https://openonderwijsapi.nl/specification/v5/docs.html" TargetMode="External"/><Relationship Id="rId37" Type="http://schemas.openxmlformats.org/officeDocument/2006/relationships/hyperlink" Target="https://openonderwijsapi.nl/specification/v5/docs.html" TargetMode="External"/><Relationship Id="rId58" Type="http://schemas.openxmlformats.org/officeDocument/2006/relationships/hyperlink" Target="https://openonderwijsapi.nl/specification/v5/docs.html" TargetMode="External"/><Relationship Id="rId79" Type="http://schemas.openxmlformats.org/officeDocument/2006/relationships/hyperlink" Target="https://openonderwijsapi.nl/specification/v5/docs.html" TargetMode="External"/><Relationship Id="rId102" Type="http://schemas.openxmlformats.org/officeDocument/2006/relationships/hyperlink" Target="https://openonderwijsapi.nl/specification/v5/docs.html" TargetMode="External"/><Relationship Id="rId123" Type="http://schemas.openxmlformats.org/officeDocument/2006/relationships/hyperlink" Target="https://openonderwijsapi.nl/specification/v5/docs.html" TargetMode="External"/><Relationship Id="rId144" Type="http://schemas.openxmlformats.org/officeDocument/2006/relationships/hyperlink" Target="https://openonderwijsapi.nl/specification/v5/docs.html" TargetMode="External"/><Relationship Id="rId90" Type="http://schemas.openxmlformats.org/officeDocument/2006/relationships/hyperlink" Target="https://openonderwijsapi.nl/specification/v5/docs.html" TargetMode="External"/><Relationship Id="rId165" Type="http://schemas.openxmlformats.org/officeDocument/2006/relationships/hyperlink" Target="https://openonderwijsapi.nl/specification/v5/docs.html" TargetMode="External"/><Relationship Id="rId186" Type="http://schemas.openxmlformats.org/officeDocument/2006/relationships/hyperlink" Target="https://openonderwijsapi.nl/specification/v5/docs.html" TargetMode="External"/><Relationship Id="rId211" Type="http://schemas.openxmlformats.org/officeDocument/2006/relationships/hyperlink" Target="https://openonderwijsapi.nl/specification/v5/docs.html" TargetMode="External"/><Relationship Id="rId232" Type="http://schemas.openxmlformats.org/officeDocument/2006/relationships/hyperlink" Target="https://openonderwijsapi.nl/" TargetMode="External"/><Relationship Id="rId27" Type="http://schemas.openxmlformats.org/officeDocument/2006/relationships/hyperlink" Target="https://openonderwijsapi.nl/specification/v5/docs.html" TargetMode="External"/><Relationship Id="rId48" Type="http://schemas.openxmlformats.org/officeDocument/2006/relationships/hyperlink" Target="https://openonderwijsapi.nl/specification/v5/docs.html" TargetMode="External"/><Relationship Id="rId69" Type="http://schemas.openxmlformats.org/officeDocument/2006/relationships/hyperlink" Target="https://openonderwijsapi.nl/specification/v5/docs.html" TargetMode="External"/><Relationship Id="rId113" Type="http://schemas.openxmlformats.org/officeDocument/2006/relationships/hyperlink" Target="https://openonderwijsapi.nl/specification/v5/docs.html" TargetMode="External"/><Relationship Id="rId134" Type="http://schemas.openxmlformats.org/officeDocument/2006/relationships/hyperlink" Target="https://openonderwijsapi.nl/specification/v5/docs.html" TargetMode="External"/><Relationship Id="rId80" Type="http://schemas.openxmlformats.org/officeDocument/2006/relationships/hyperlink" Target="https://openonderwijsapi.nl/specification/v5/docs.html" TargetMode="External"/><Relationship Id="rId155" Type="http://schemas.openxmlformats.org/officeDocument/2006/relationships/hyperlink" Target="https://openonderwijsapi.nl/specification/v5/docs.html" TargetMode="External"/><Relationship Id="rId176" Type="http://schemas.openxmlformats.org/officeDocument/2006/relationships/hyperlink" Target="https://openonderwijsapi.nl/specification/v5/docs.html" TargetMode="External"/><Relationship Id="rId197" Type="http://schemas.openxmlformats.org/officeDocument/2006/relationships/hyperlink" Target="https://openonderwijsapi.nl/specification/v5/docs.html" TargetMode="External"/><Relationship Id="rId201" Type="http://schemas.openxmlformats.org/officeDocument/2006/relationships/hyperlink" Target="https://openonderwijsapi.nl/specification/v5/docs.html" TargetMode="External"/><Relationship Id="rId222" Type="http://schemas.openxmlformats.org/officeDocument/2006/relationships/hyperlink" Target="https://openonderwijsapi.nl/specification/v5/docs.html" TargetMode="External"/><Relationship Id="rId17" Type="http://schemas.openxmlformats.org/officeDocument/2006/relationships/hyperlink" Target="https://openonderwijsapi.nl/specification/v5/docs.html" TargetMode="External"/><Relationship Id="rId38" Type="http://schemas.openxmlformats.org/officeDocument/2006/relationships/hyperlink" Target="https://openonderwijsapi.nl/specification/v5/docs.html" TargetMode="External"/><Relationship Id="rId59" Type="http://schemas.openxmlformats.org/officeDocument/2006/relationships/hyperlink" Target="https://openonderwijsapi.nl/specification/v5/docs.html" TargetMode="External"/><Relationship Id="rId103" Type="http://schemas.openxmlformats.org/officeDocument/2006/relationships/hyperlink" Target="https://openonderwijsapi.nl/specification/v5/docs.html" TargetMode="External"/><Relationship Id="rId124" Type="http://schemas.openxmlformats.org/officeDocument/2006/relationships/hyperlink" Target="https://openonderwijsapi.nl/specification/v5/docs.html" TargetMode="External"/><Relationship Id="rId70" Type="http://schemas.openxmlformats.org/officeDocument/2006/relationships/hyperlink" Target="https://openonderwijsapi.nl/specification/v5/docs.html" TargetMode="External"/><Relationship Id="rId91" Type="http://schemas.openxmlformats.org/officeDocument/2006/relationships/hyperlink" Target="https://openonderwijsapi.nl/specification/v5/docs.html" TargetMode="External"/><Relationship Id="rId145" Type="http://schemas.openxmlformats.org/officeDocument/2006/relationships/hyperlink" Target="https://openonderwijsapi.nl/specification/v5/docs.html" TargetMode="External"/><Relationship Id="rId166" Type="http://schemas.openxmlformats.org/officeDocument/2006/relationships/hyperlink" Target="https://openonderwijsapi.nl/specification/v5/docs.html" TargetMode="External"/><Relationship Id="rId187" Type="http://schemas.openxmlformats.org/officeDocument/2006/relationships/hyperlink" Target="https://openonderwijsapi.nl/specification/v5/docs.html" TargetMode="External"/><Relationship Id="rId1" Type="http://schemas.openxmlformats.org/officeDocument/2006/relationships/hyperlink" Target="https://openonderwijsapi.nl/specification/v5/docs.html" TargetMode="External"/><Relationship Id="rId212" Type="http://schemas.openxmlformats.org/officeDocument/2006/relationships/hyperlink" Target="https://openonderwijsapi.nl/specification/v5/docs.html" TargetMode="External"/><Relationship Id="rId233" Type="http://schemas.openxmlformats.org/officeDocument/2006/relationships/hyperlink" Target="https://openonderwijsapi.nl/specification/v5/docs.html" TargetMode="External"/><Relationship Id="rId28" Type="http://schemas.openxmlformats.org/officeDocument/2006/relationships/hyperlink" Target="https://openonderwijsapi.nl/specification/v5/docs.html" TargetMode="External"/><Relationship Id="rId49" Type="http://schemas.openxmlformats.org/officeDocument/2006/relationships/hyperlink" Target="https://openonderwijsapi.nl/specification/v5/docs.html" TargetMode="External"/><Relationship Id="rId114" Type="http://schemas.openxmlformats.org/officeDocument/2006/relationships/hyperlink" Target="https://openonderwijsapi.nl/specification/v5/docs.html" TargetMode="External"/><Relationship Id="rId60" Type="http://schemas.openxmlformats.org/officeDocument/2006/relationships/hyperlink" Target="https://openonderwijsapi.nl/specification/v5/docs.html" TargetMode="External"/><Relationship Id="rId81" Type="http://schemas.openxmlformats.org/officeDocument/2006/relationships/hyperlink" Target="https://openonderwijsapi.nl/specification/v5/docs.html" TargetMode="External"/><Relationship Id="rId135" Type="http://schemas.openxmlformats.org/officeDocument/2006/relationships/hyperlink" Target="https://openonderwijsapi.nl/specification/v5/docs.html" TargetMode="External"/><Relationship Id="rId156" Type="http://schemas.openxmlformats.org/officeDocument/2006/relationships/hyperlink" Target="https://openonderwijsapi.nl/specification/v5/docs.html" TargetMode="External"/><Relationship Id="rId177" Type="http://schemas.openxmlformats.org/officeDocument/2006/relationships/hyperlink" Target="https://openonderwijsapi.nl/specification/v5/docs.html" TargetMode="External"/><Relationship Id="rId198" Type="http://schemas.openxmlformats.org/officeDocument/2006/relationships/hyperlink" Target="https://openonderwijsapi.nl/specification/v5/docs.html" TargetMode="External"/><Relationship Id="rId202" Type="http://schemas.openxmlformats.org/officeDocument/2006/relationships/hyperlink" Target="https://openonderwijsapi.nl/specification/v5/docs.html" TargetMode="External"/><Relationship Id="rId223" Type="http://schemas.openxmlformats.org/officeDocument/2006/relationships/hyperlink" Target="https://openonderwijsapi.nl/specification/v5/docs.html" TargetMode="External"/><Relationship Id="rId18" Type="http://schemas.openxmlformats.org/officeDocument/2006/relationships/hyperlink" Target="https://openonderwijsapi.nl/specification/v5/docs.html" TargetMode="External"/><Relationship Id="rId39" Type="http://schemas.openxmlformats.org/officeDocument/2006/relationships/hyperlink" Target="https://openonderwijsapi.nl/specification/v5/docs.html" TargetMode="External"/><Relationship Id="rId50" Type="http://schemas.openxmlformats.org/officeDocument/2006/relationships/hyperlink" Target="https://openonderwijsapi.nl/specification/v5/docs.html" TargetMode="External"/><Relationship Id="rId104" Type="http://schemas.openxmlformats.org/officeDocument/2006/relationships/hyperlink" Target="https://openonderwijsapi.nl/specification/v5/docs.html" TargetMode="External"/><Relationship Id="rId125" Type="http://schemas.openxmlformats.org/officeDocument/2006/relationships/hyperlink" Target="https://openonderwijsapi.nl/specification/v5/docs.html" TargetMode="External"/><Relationship Id="rId146" Type="http://schemas.openxmlformats.org/officeDocument/2006/relationships/hyperlink" Target="https://openonderwijsapi.nl/specification/v5/docs.html" TargetMode="External"/><Relationship Id="rId167" Type="http://schemas.openxmlformats.org/officeDocument/2006/relationships/hyperlink" Target="https://openonderwijsapi.nl/specification/v5/docs.html" TargetMode="External"/><Relationship Id="rId188" Type="http://schemas.openxmlformats.org/officeDocument/2006/relationships/hyperlink" Target="https://openonderwijsapi.nl/specification/v5/docs.html" TargetMode="External"/><Relationship Id="rId71" Type="http://schemas.openxmlformats.org/officeDocument/2006/relationships/hyperlink" Target="https://openonderwijsapi.nl/specification/v5/docs.html" TargetMode="External"/><Relationship Id="rId92" Type="http://schemas.openxmlformats.org/officeDocument/2006/relationships/hyperlink" Target="https://openonderwijsapi.nl/specification/v5/docs.html" TargetMode="External"/><Relationship Id="rId213" Type="http://schemas.openxmlformats.org/officeDocument/2006/relationships/hyperlink" Target="https://openonderwijsapi.nl/specification/v5/docs.html" TargetMode="External"/><Relationship Id="rId234" Type="http://schemas.openxmlformats.org/officeDocument/2006/relationships/hyperlink" Target="https://openonderwijsapi.nl/" TargetMode="External"/><Relationship Id="rId2" Type="http://schemas.openxmlformats.org/officeDocument/2006/relationships/hyperlink" Target="https://openonderwijsapi.nl/specification/v5/docs.html" TargetMode="External"/><Relationship Id="rId29" Type="http://schemas.openxmlformats.org/officeDocument/2006/relationships/hyperlink" Target="https://openonderwijsapi.nl/specification/v5/docs.html" TargetMode="External"/><Relationship Id="rId40" Type="http://schemas.openxmlformats.org/officeDocument/2006/relationships/hyperlink" Target="https://openonderwijsapi.nl/specification/v5/docs.html" TargetMode="External"/><Relationship Id="rId115" Type="http://schemas.openxmlformats.org/officeDocument/2006/relationships/hyperlink" Target="https://openonderwijsapi.nl/specification/v5/docs.html" TargetMode="External"/><Relationship Id="rId136" Type="http://schemas.openxmlformats.org/officeDocument/2006/relationships/hyperlink" Target="https://openonderwijsapi.nl/specification/v5/docs.html" TargetMode="External"/><Relationship Id="rId157" Type="http://schemas.openxmlformats.org/officeDocument/2006/relationships/hyperlink" Target="https://openonderwijsapi.nl/specification/v5/docs.html" TargetMode="External"/><Relationship Id="rId178" Type="http://schemas.openxmlformats.org/officeDocument/2006/relationships/hyperlink" Target="https://openonderwijsapi.nl/specification/v5/docs.html" TargetMode="External"/><Relationship Id="rId61" Type="http://schemas.openxmlformats.org/officeDocument/2006/relationships/hyperlink" Target="https://openonderwijsapi.nl/specification/v5/docs.html" TargetMode="External"/><Relationship Id="rId82" Type="http://schemas.openxmlformats.org/officeDocument/2006/relationships/hyperlink" Target="https://openonderwijsapi.nl/specification/v5/docs.html" TargetMode="External"/><Relationship Id="rId199" Type="http://schemas.openxmlformats.org/officeDocument/2006/relationships/hyperlink" Target="https://openonderwijsapi.nl/specification/v5/docs.html" TargetMode="External"/><Relationship Id="rId203" Type="http://schemas.openxmlformats.org/officeDocument/2006/relationships/hyperlink" Target="https://openonderwijsapi.nl/specification/v5/docs.html" TargetMode="External"/><Relationship Id="rId19" Type="http://schemas.openxmlformats.org/officeDocument/2006/relationships/hyperlink" Target="https://openonderwijsapi.nl/specification/v5/docs.html" TargetMode="External"/><Relationship Id="rId224" Type="http://schemas.openxmlformats.org/officeDocument/2006/relationships/hyperlink" Target="https://openonderwijsapi.nl/specification/v5/docs.html" TargetMode="External"/><Relationship Id="rId30" Type="http://schemas.openxmlformats.org/officeDocument/2006/relationships/hyperlink" Target="https://openonderwijsapi.nl/specification/v5/docs.html" TargetMode="External"/><Relationship Id="rId105" Type="http://schemas.openxmlformats.org/officeDocument/2006/relationships/hyperlink" Target="https://openonderwijsapi.nl/specification/v5/docs.html" TargetMode="External"/><Relationship Id="rId126" Type="http://schemas.openxmlformats.org/officeDocument/2006/relationships/hyperlink" Target="https://openonderwijsapi.nl/specification/v5/docs.html" TargetMode="External"/><Relationship Id="rId147" Type="http://schemas.openxmlformats.org/officeDocument/2006/relationships/hyperlink" Target="https://openonderwijsapi.nl/specification/v5/docs.html" TargetMode="External"/><Relationship Id="rId168" Type="http://schemas.openxmlformats.org/officeDocument/2006/relationships/hyperlink" Target="https://openonderwijsapi.nl/specification/v5/docs.html" TargetMode="External"/><Relationship Id="rId51" Type="http://schemas.openxmlformats.org/officeDocument/2006/relationships/hyperlink" Target="https://openonderwijsapi.nl/specification/v5/docs.html" TargetMode="External"/><Relationship Id="rId72" Type="http://schemas.openxmlformats.org/officeDocument/2006/relationships/hyperlink" Target="https://openonderwijsapi.nl/specification/v5/docs.html" TargetMode="External"/><Relationship Id="rId93" Type="http://schemas.openxmlformats.org/officeDocument/2006/relationships/hyperlink" Target="https://openonderwijsapi.nl/specification/v5/docs.html" TargetMode="External"/><Relationship Id="rId189" Type="http://schemas.openxmlformats.org/officeDocument/2006/relationships/hyperlink" Target="https://openonderwijsapi.nl/specification/v5/docs.html" TargetMode="External"/><Relationship Id="rId3" Type="http://schemas.openxmlformats.org/officeDocument/2006/relationships/hyperlink" Target="https://openonderwijsapi.nl/" TargetMode="External"/><Relationship Id="rId214" Type="http://schemas.openxmlformats.org/officeDocument/2006/relationships/hyperlink" Target="https://openonderwijsapi.nl/specification/v5/docs.html" TargetMode="External"/><Relationship Id="rId235" Type="http://schemas.openxmlformats.org/officeDocument/2006/relationships/hyperlink" Target="https://openonderwijsapi.nl/specification/v5/docs.html" TargetMode="External"/><Relationship Id="rId116" Type="http://schemas.openxmlformats.org/officeDocument/2006/relationships/hyperlink" Target="https://openonderwijsapi.nl/specification/v5/docs.html" TargetMode="External"/><Relationship Id="rId137" Type="http://schemas.openxmlformats.org/officeDocument/2006/relationships/hyperlink" Target="https://openonderwijsapi.nl/specification/v5/docs.html" TargetMode="External"/><Relationship Id="rId158" Type="http://schemas.openxmlformats.org/officeDocument/2006/relationships/hyperlink" Target="https://openonderwijsapi.nl/specification/v5/docs.html" TargetMode="External"/><Relationship Id="rId20" Type="http://schemas.openxmlformats.org/officeDocument/2006/relationships/hyperlink" Target="https://openonderwijsapi.nl/specification/v5/docs.html" TargetMode="External"/><Relationship Id="rId41" Type="http://schemas.openxmlformats.org/officeDocument/2006/relationships/hyperlink" Target="https://openonderwijsapi.nl/specification/v5/docs.html" TargetMode="External"/><Relationship Id="rId62" Type="http://schemas.openxmlformats.org/officeDocument/2006/relationships/hyperlink" Target="https://openonderwijsapi.nl/specification/v5/docs.html" TargetMode="External"/><Relationship Id="rId83" Type="http://schemas.openxmlformats.org/officeDocument/2006/relationships/hyperlink" Target="https://openonderwijsapi.nl/specification/v5/docs.html" TargetMode="External"/><Relationship Id="rId179" Type="http://schemas.openxmlformats.org/officeDocument/2006/relationships/hyperlink" Target="https://openonderwijsapi.nl/specification/v5/docs.html"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B923-7ABC-48E6-A17A-72DD2EBBC40F}">
  <dimension ref="A1:A18"/>
  <sheetViews>
    <sheetView workbookViewId="0">
      <selection activeCell="E23" sqref="E23"/>
    </sheetView>
  </sheetViews>
  <sheetFormatPr defaultColWidth="8.86328125" defaultRowHeight="14.25" x14ac:dyDescent="0.45"/>
  <sheetData>
    <row r="1" spans="1:1" ht="17.649999999999999" x14ac:dyDescent="0.45">
      <c r="A1" s="2" t="s">
        <v>0</v>
      </c>
    </row>
    <row r="3" spans="1:1" x14ac:dyDescent="0.45">
      <c r="A3" t="s">
        <v>1</v>
      </c>
    </row>
    <row r="4" spans="1:1" x14ac:dyDescent="0.45">
      <c r="A4" t="s">
        <v>2</v>
      </c>
    </row>
    <row r="6" spans="1:1" x14ac:dyDescent="0.45">
      <c r="A6" t="s">
        <v>3</v>
      </c>
    </row>
    <row r="7" spans="1:1" x14ac:dyDescent="0.45">
      <c r="A7" t="s">
        <v>4</v>
      </c>
    </row>
    <row r="9" spans="1:1" x14ac:dyDescent="0.45">
      <c r="A9" t="s">
        <v>5</v>
      </c>
    </row>
    <row r="10" spans="1:1" x14ac:dyDescent="0.45">
      <c r="A10" t="s">
        <v>6</v>
      </c>
    </row>
    <row r="11" spans="1:1" x14ac:dyDescent="0.45">
      <c r="A11" s="3"/>
    </row>
    <row r="12" spans="1:1" x14ac:dyDescent="0.45">
      <c r="A12" s="3" t="s">
        <v>7</v>
      </c>
    </row>
    <row r="13" spans="1:1" x14ac:dyDescent="0.45">
      <c r="A13" s="3"/>
    </row>
    <row r="14" spans="1:1" x14ac:dyDescent="0.45">
      <c r="A14" s="4" t="s">
        <v>8</v>
      </c>
    </row>
    <row r="15" spans="1:1" x14ac:dyDescent="0.45">
      <c r="A15" s="3"/>
    </row>
    <row r="16" spans="1:1" x14ac:dyDescent="0.45">
      <c r="A16" s="4" t="s">
        <v>9</v>
      </c>
    </row>
    <row r="18" spans="1:1" x14ac:dyDescent="0.45">
      <c r="A18"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8DDE-DD98-4F98-9665-C2793AE320A7}">
  <dimension ref="A1:E22"/>
  <sheetViews>
    <sheetView topLeftCell="A5" zoomScale="115" zoomScaleNormal="115" workbookViewId="0">
      <selection activeCell="A11" sqref="A11"/>
    </sheetView>
  </sheetViews>
  <sheetFormatPr defaultColWidth="8.86328125" defaultRowHeight="14.25" x14ac:dyDescent="0.45"/>
  <cols>
    <col min="1" max="1" width="9.796875" customWidth="1"/>
    <col min="2" max="2" width="12.796875" customWidth="1"/>
    <col min="3" max="3" width="49.796875" customWidth="1"/>
    <col min="4" max="4" width="12.19921875" customWidth="1"/>
    <col min="5" max="5" width="15.19921875" customWidth="1"/>
    <col min="6" max="6" width="11.796875" bestFit="1" customWidth="1"/>
  </cols>
  <sheetData>
    <row r="1" spans="1:5" ht="18" x14ac:dyDescent="0.55000000000000004">
      <c r="A1" s="5" t="s">
        <v>11</v>
      </c>
    </row>
    <row r="2" spans="1:5" ht="15.75" x14ac:dyDescent="0.45">
      <c r="B2" s="6" t="s">
        <v>12</v>
      </c>
      <c r="C2" s="7" t="s">
        <v>13</v>
      </c>
      <c r="D2" s="7" t="s">
        <v>14</v>
      </c>
      <c r="E2" s="8" t="s">
        <v>15</v>
      </c>
    </row>
    <row r="3" spans="1:5" ht="82.5" customHeight="1" x14ac:dyDescent="0.45">
      <c r="B3" s="9" t="s">
        <v>16</v>
      </c>
      <c r="C3" s="10" t="s">
        <v>17</v>
      </c>
      <c r="D3" s="11">
        <v>45893</v>
      </c>
      <c r="E3" s="12" t="s">
        <v>18</v>
      </c>
    </row>
    <row r="4" spans="1:5" ht="61.5" customHeight="1" x14ac:dyDescent="0.45">
      <c r="B4" s="9" t="s">
        <v>19</v>
      </c>
      <c r="C4" s="10" t="s">
        <v>20</v>
      </c>
      <c r="D4" s="11">
        <v>45901</v>
      </c>
      <c r="E4" s="12" t="s">
        <v>18</v>
      </c>
    </row>
    <row r="5" spans="1:5" ht="98.25" customHeight="1" x14ac:dyDescent="0.45">
      <c r="B5" s="9" t="s">
        <v>21</v>
      </c>
      <c r="C5" s="10" t="s">
        <v>22</v>
      </c>
      <c r="D5" s="11">
        <v>45918</v>
      </c>
      <c r="E5" s="12" t="s">
        <v>18</v>
      </c>
    </row>
    <row r="6" spans="1:5" ht="60.75" customHeight="1" x14ac:dyDescent="0.45">
      <c r="B6" s="13" t="s">
        <v>23</v>
      </c>
      <c r="C6" s="14" t="s">
        <v>24</v>
      </c>
      <c r="D6" s="15">
        <v>45924</v>
      </c>
      <c r="E6" s="16" t="s">
        <v>18</v>
      </c>
    </row>
    <row r="8" spans="1:5" ht="18" x14ac:dyDescent="0.55000000000000004">
      <c r="A8" s="5" t="s">
        <v>0</v>
      </c>
    </row>
    <row r="10" spans="1:5" x14ac:dyDescent="0.45">
      <c r="A10" t="s">
        <v>25</v>
      </c>
    </row>
    <row r="11" spans="1:5" x14ac:dyDescent="0.45">
      <c r="A11" t="s">
        <v>26</v>
      </c>
    </row>
    <row r="13" spans="1:5" x14ac:dyDescent="0.45">
      <c r="A13" t="s">
        <v>27</v>
      </c>
    </row>
    <row r="14" spans="1:5" x14ac:dyDescent="0.45">
      <c r="A14" t="s">
        <v>4</v>
      </c>
    </row>
    <row r="16" spans="1:5" x14ac:dyDescent="0.45">
      <c r="A16" t="s">
        <v>5</v>
      </c>
    </row>
    <row r="17" spans="1:2" x14ac:dyDescent="0.45">
      <c r="A17" t="s">
        <v>6</v>
      </c>
    </row>
    <row r="19" spans="1:2" x14ac:dyDescent="0.45">
      <c r="B19" t="s">
        <v>28</v>
      </c>
    </row>
    <row r="20" spans="1:2" x14ac:dyDescent="0.45">
      <c r="B20" t="s">
        <v>29</v>
      </c>
    </row>
    <row r="21" spans="1:2" x14ac:dyDescent="0.45">
      <c r="B21" t="s">
        <v>30</v>
      </c>
    </row>
    <row r="22" spans="1:2" x14ac:dyDescent="0.45">
      <c r="B22" t="s">
        <v>31</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81"/>
  <sheetViews>
    <sheetView topLeftCell="A3" zoomScale="85" zoomScaleNormal="85" workbookViewId="0">
      <selection activeCell="I384" sqref="I384"/>
    </sheetView>
  </sheetViews>
  <sheetFormatPr defaultColWidth="8.86328125" defaultRowHeight="14.25" x14ac:dyDescent="0.45"/>
  <cols>
    <col min="1" max="1" width="5.86328125" customWidth="1"/>
    <col min="2" max="2" width="15.1328125" customWidth="1"/>
    <col min="3" max="3" width="33.86328125" customWidth="1"/>
    <col min="4" max="4" width="35.796875" customWidth="1"/>
    <col min="5" max="5" width="18.86328125" customWidth="1"/>
    <col min="6" max="6" width="64.19921875" style="1" customWidth="1"/>
    <col min="7" max="7" width="48.19921875" customWidth="1"/>
    <col min="8" max="8" width="49" customWidth="1"/>
    <col min="9" max="9" width="38.796875" customWidth="1"/>
    <col min="10" max="10" width="29.19921875" style="1" customWidth="1"/>
    <col min="11" max="11" width="30.19921875" customWidth="1"/>
    <col min="12" max="12" width="86.796875" customWidth="1"/>
    <col min="13" max="13" width="48.796875" hidden="1" customWidth="1"/>
    <col min="14" max="14" width="14.86328125" hidden="1" customWidth="1"/>
    <col min="15" max="15" width="8" hidden="1" customWidth="1"/>
    <col min="16" max="16" width="42.1328125" customWidth="1"/>
    <col min="17" max="17" width="31.19921875" customWidth="1"/>
    <col min="18" max="18" width="25.1328125" customWidth="1"/>
    <col min="19" max="19" width="57.53125" customWidth="1"/>
    <col min="20" max="20" width="55" style="1" customWidth="1"/>
  </cols>
  <sheetData>
    <row r="1" spans="1:20" ht="21" x14ac:dyDescent="0.65">
      <c r="A1" s="45" t="s">
        <v>32</v>
      </c>
    </row>
    <row r="2" spans="1:20" x14ac:dyDescent="0.45">
      <c r="B2">
        <v>1</v>
      </c>
      <c r="C2" t="s">
        <v>33</v>
      </c>
    </row>
    <row r="6" spans="1:20" ht="30.6" customHeight="1" x14ac:dyDescent="0.45">
      <c r="A6" s="33" t="s">
        <v>34</v>
      </c>
      <c r="B6" s="33" t="s">
        <v>35</v>
      </c>
      <c r="C6" s="33" t="s">
        <v>36</v>
      </c>
      <c r="D6" s="33" t="s">
        <v>37</v>
      </c>
      <c r="E6" s="33" t="s">
        <v>38</v>
      </c>
      <c r="F6" s="34" t="s">
        <v>39</v>
      </c>
      <c r="G6" s="34" t="s">
        <v>40</v>
      </c>
      <c r="H6" s="1" t="s">
        <v>41</v>
      </c>
      <c r="I6" s="1" t="s">
        <v>42</v>
      </c>
      <c r="J6" s="33" t="s">
        <v>43</v>
      </c>
      <c r="K6" s="33" t="s">
        <v>44</v>
      </c>
      <c r="L6" s="33" t="s">
        <v>45</v>
      </c>
      <c r="M6" s="35" t="s">
        <v>46</v>
      </c>
      <c r="N6" s="35" t="s">
        <v>47</v>
      </c>
      <c r="O6" s="35" t="s">
        <v>48</v>
      </c>
      <c r="P6" s="35" t="s">
        <v>49</v>
      </c>
      <c r="Q6" s="33" t="s">
        <v>50</v>
      </c>
      <c r="R6" s="33" t="s">
        <v>51</v>
      </c>
      <c r="S6" s="35" t="s">
        <v>52</v>
      </c>
      <c r="T6"/>
    </row>
    <row r="7" spans="1:20" s="17" customFormat="1" ht="85.5" hidden="1" x14ac:dyDescent="0.45">
      <c r="A7" s="17">
        <v>424</v>
      </c>
      <c r="D7" s="17" t="s">
        <v>53</v>
      </c>
      <c r="E7" s="17" t="s">
        <v>54</v>
      </c>
      <c r="H7" s="18" t="s">
        <v>55</v>
      </c>
      <c r="I7" s="18"/>
      <c r="J7" s="17" t="s">
        <v>56</v>
      </c>
      <c r="M7" s="18"/>
      <c r="N7" s="18"/>
    </row>
    <row r="8" spans="1:20" s="17" customFormat="1" ht="57" hidden="1" x14ac:dyDescent="0.45">
      <c r="A8" s="17">
        <v>425</v>
      </c>
      <c r="D8" s="17" t="s">
        <v>57</v>
      </c>
      <c r="E8" s="17" t="s">
        <v>54</v>
      </c>
      <c r="H8" s="18" t="s">
        <v>58</v>
      </c>
      <c r="I8" s="18"/>
      <c r="J8" s="17" t="s">
        <v>56</v>
      </c>
      <c r="M8" s="18"/>
      <c r="N8" s="18"/>
    </row>
    <row r="9" spans="1:20" s="17" customFormat="1" ht="42.75" hidden="1" x14ac:dyDescent="0.45">
      <c r="A9" s="17">
        <v>426</v>
      </c>
      <c r="D9" s="17" t="s">
        <v>59</v>
      </c>
      <c r="E9" s="17" t="s">
        <v>54</v>
      </c>
      <c r="H9" s="18" t="s">
        <v>60</v>
      </c>
      <c r="I9" s="18"/>
      <c r="J9" s="17" t="s">
        <v>56</v>
      </c>
      <c r="M9" s="18"/>
      <c r="N9" s="18"/>
    </row>
    <row r="10" spans="1:20" s="17" customFormat="1" ht="99.75" hidden="1" x14ac:dyDescent="0.45">
      <c r="A10" s="17">
        <v>427</v>
      </c>
      <c r="D10" s="17" t="s">
        <v>61</v>
      </c>
      <c r="E10" s="17" t="s">
        <v>54</v>
      </c>
      <c r="H10" s="18" t="s">
        <v>62</v>
      </c>
      <c r="I10" s="18"/>
      <c r="J10" s="17" t="s">
        <v>56</v>
      </c>
      <c r="M10" s="18"/>
      <c r="N10" s="18"/>
    </row>
    <row r="11" spans="1:20" s="17" customFormat="1" ht="42.75" hidden="1" x14ac:dyDescent="0.45">
      <c r="A11" s="17">
        <v>428</v>
      </c>
      <c r="D11" s="17" t="s">
        <v>63</v>
      </c>
      <c r="E11" s="17" t="s">
        <v>54</v>
      </c>
      <c r="H11" s="18" t="s">
        <v>64</v>
      </c>
      <c r="I11" s="18"/>
      <c r="J11" s="17" t="s">
        <v>56</v>
      </c>
      <c r="M11" s="18"/>
      <c r="N11" s="18"/>
    </row>
    <row r="12" spans="1:20" s="17" customFormat="1" ht="42.75" hidden="1" x14ac:dyDescent="0.45">
      <c r="A12" s="17">
        <v>429</v>
      </c>
      <c r="D12" s="17" t="s">
        <v>65</v>
      </c>
      <c r="E12" s="17" t="s">
        <v>54</v>
      </c>
      <c r="H12" s="18" t="s">
        <v>66</v>
      </c>
      <c r="I12" s="18"/>
      <c r="J12" s="17" t="s">
        <v>56</v>
      </c>
      <c r="M12" s="18"/>
      <c r="N12" s="18"/>
    </row>
    <row r="13" spans="1:20" s="17" customFormat="1" ht="156.75" hidden="1" x14ac:dyDescent="0.45">
      <c r="A13" s="17">
        <v>430</v>
      </c>
      <c r="D13" s="17" t="s">
        <v>67</v>
      </c>
      <c r="E13" s="17" t="s">
        <v>54</v>
      </c>
      <c r="H13" s="18" t="s">
        <v>68</v>
      </c>
      <c r="I13" s="18"/>
      <c r="J13" s="17" t="s">
        <v>56</v>
      </c>
      <c r="M13" s="18"/>
      <c r="N13" s="18"/>
    </row>
    <row r="14" spans="1:20" s="17" customFormat="1" ht="72" hidden="1" customHeight="1" x14ac:dyDescent="0.45">
      <c r="A14" s="17">
        <v>431</v>
      </c>
      <c r="D14" s="17" t="s">
        <v>69</v>
      </c>
      <c r="E14" s="17" t="s">
        <v>54</v>
      </c>
      <c r="H14" s="18" t="s">
        <v>70</v>
      </c>
      <c r="I14" s="18"/>
      <c r="J14" s="17" t="s">
        <v>56</v>
      </c>
      <c r="M14" s="18"/>
      <c r="N14" s="18"/>
    </row>
    <row r="15" spans="1:20" s="17" customFormat="1" ht="99.75" hidden="1" x14ac:dyDescent="0.45">
      <c r="A15" s="17">
        <v>432</v>
      </c>
      <c r="D15" s="17" t="s">
        <v>71</v>
      </c>
      <c r="E15" s="17" t="s">
        <v>54</v>
      </c>
      <c r="H15" s="18" t="s">
        <v>72</v>
      </c>
      <c r="I15" s="18"/>
      <c r="J15" s="17" t="s">
        <v>56</v>
      </c>
      <c r="M15" s="18"/>
      <c r="N15" s="18"/>
    </row>
    <row r="16" spans="1:20" s="17" customFormat="1" ht="114" hidden="1" x14ac:dyDescent="0.45">
      <c r="A16" s="17">
        <v>433</v>
      </c>
      <c r="D16" s="17" t="s">
        <v>73</v>
      </c>
      <c r="E16" s="17" t="s">
        <v>54</v>
      </c>
      <c r="H16" s="18" t="s">
        <v>74</v>
      </c>
      <c r="I16" s="18"/>
      <c r="J16" s="17" t="s">
        <v>56</v>
      </c>
      <c r="M16" s="18"/>
      <c r="N16" s="18"/>
    </row>
    <row r="17" spans="1:15" s="17" customFormat="1" ht="77.45" hidden="1" customHeight="1" x14ac:dyDescent="0.45">
      <c r="A17" s="17">
        <v>434</v>
      </c>
      <c r="D17" s="17" t="s">
        <v>75</v>
      </c>
      <c r="E17" s="17" t="s">
        <v>54</v>
      </c>
      <c r="H17" s="18" t="s">
        <v>76</v>
      </c>
      <c r="I17" s="18"/>
      <c r="J17" s="17" t="s">
        <v>56</v>
      </c>
      <c r="M17" s="18"/>
      <c r="N17" s="18"/>
    </row>
    <row r="18" spans="1:15" s="17" customFormat="1" ht="71.25" hidden="1" x14ac:dyDescent="0.45">
      <c r="A18" s="17">
        <v>435</v>
      </c>
      <c r="D18" s="17" t="s">
        <v>77</v>
      </c>
      <c r="E18" s="17" t="s">
        <v>54</v>
      </c>
      <c r="H18" s="18" t="s">
        <v>78</v>
      </c>
      <c r="I18" s="18"/>
      <c r="J18" s="17" t="s">
        <v>56</v>
      </c>
      <c r="M18" s="18"/>
      <c r="N18" s="18"/>
    </row>
    <row r="19" spans="1:15" s="17" customFormat="1" ht="270.75" hidden="1" x14ac:dyDescent="0.45">
      <c r="A19" s="17">
        <v>436</v>
      </c>
      <c r="D19" s="17" t="s">
        <v>79</v>
      </c>
      <c r="E19" s="17" t="s">
        <v>54</v>
      </c>
      <c r="H19" s="18" t="s">
        <v>80</v>
      </c>
      <c r="I19" s="18"/>
      <c r="J19" s="17" t="s">
        <v>56</v>
      </c>
      <c r="M19" s="18"/>
      <c r="N19" s="18"/>
    </row>
    <row r="20" spans="1:15" s="17" customFormat="1" ht="88.35" hidden="1" customHeight="1" x14ac:dyDescent="0.45">
      <c r="A20" s="17">
        <v>437</v>
      </c>
      <c r="D20" s="17" t="s">
        <v>81</v>
      </c>
      <c r="E20" s="17" t="s">
        <v>54</v>
      </c>
      <c r="H20" s="18" t="s">
        <v>82</v>
      </c>
      <c r="I20" s="18"/>
      <c r="J20" s="17" t="s">
        <v>83</v>
      </c>
      <c r="L20" s="17" t="s">
        <v>84</v>
      </c>
      <c r="M20" s="23" t="s">
        <v>85</v>
      </c>
      <c r="N20" s="23"/>
      <c r="O20" s="32"/>
    </row>
    <row r="21" spans="1:15" s="17" customFormat="1" ht="156.75" hidden="1" x14ac:dyDescent="0.45">
      <c r="A21" s="17">
        <v>438</v>
      </c>
      <c r="D21" s="17" t="s">
        <v>86</v>
      </c>
      <c r="E21" s="17" t="s">
        <v>54</v>
      </c>
      <c r="H21" s="18" t="s">
        <v>87</v>
      </c>
      <c r="I21" s="18"/>
      <c r="J21" s="17" t="s">
        <v>56</v>
      </c>
      <c r="M21" s="18"/>
      <c r="N21" s="18"/>
    </row>
    <row r="22" spans="1:15" s="17" customFormat="1" ht="171" hidden="1" x14ac:dyDescent="0.45">
      <c r="A22" s="17">
        <v>439</v>
      </c>
      <c r="D22" s="17" t="s">
        <v>88</v>
      </c>
      <c r="E22" s="17" t="s">
        <v>54</v>
      </c>
      <c r="H22" s="18" t="s">
        <v>89</v>
      </c>
      <c r="I22" s="18"/>
      <c r="J22" s="17" t="s">
        <v>56</v>
      </c>
      <c r="M22" s="18"/>
      <c r="N22" s="18"/>
    </row>
    <row r="23" spans="1:15" s="17" customFormat="1" ht="71.25" hidden="1" x14ac:dyDescent="0.45">
      <c r="A23" s="17">
        <v>440</v>
      </c>
      <c r="D23" s="17" t="s">
        <v>90</v>
      </c>
      <c r="E23" s="17" t="s">
        <v>54</v>
      </c>
      <c r="H23" s="18" t="s">
        <v>91</v>
      </c>
      <c r="I23" s="18"/>
      <c r="J23" s="17" t="s">
        <v>56</v>
      </c>
      <c r="L23" s="38"/>
      <c r="M23" s="18"/>
      <c r="N23" s="18"/>
    </row>
    <row r="24" spans="1:15" s="17" customFormat="1" ht="156.75" hidden="1" x14ac:dyDescent="0.45">
      <c r="A24" s="17">
        <v>441</v>
      </c>
      <c r="D24" s="17" t="s">
        <v>92</v>
      </c>
      <c r="E24" s="17" t="s">
        <v>54</v>
      </c>
      <c r="H24" s="18" t="s">
        <v>93</v>
      </c>
      <c r="I24" s="18"/>
      <c r="J24" s="17" t="s">
        <v>56</v>
      </c>
      <c r="M24" s="18"/>
      <c r="N24" s="18"/>
    </row>
    <row r="25" spans="1:15" s="17" customFormat="1" ht="85.5" hidden="1" x14ac:dyDescent="0.45">
      <c r="A25" s="17">
        <v>442</v>
      </c>
      <c r="D25" s="17" t="s">
        <v>94</v>
      </c>
      <c r="E25" s="17" t="s">
        <v>54</v>
      </c>
      <c r="H25" s="18" t="s">
        <v>95</v>
      </c>
      <c r="I25" s="18"/>
      <c r="J25" s="17" t="s">
        <v>56</v>
      </c>
      <c r="L25" s="38"/>
      <c r="M25" s="18"/>
      <c r="N25" s="18"/>
    </row>
    <row r="26" spans="1:15" s="17" customFormat="1" ht="99.75" hidden="1" x14ac:dyDescent="0.45">
      <c r="A26" s="17">
        <v>443</v>
      </c>
      <c r="D26" s="17" t="s">
        <v>96</v>
      </c>
      <c r="E26" s="17" t="s">
        <v>54</v>
      </c>
      <c r="H26" s="18" t="s">
        <v>97</v>
      </c>
      <c r="I26" s="18"/>
      <c r="J26" s="17" t="s">
        <v>56</v>
      </c>
      <c r="M26" s="18"/>
      <c r="N26" s="18"/>
    </row>
    <row r="27" spans="1:15" s="17" customFormat="1" ht="104.45" hidden="1" customHeight="1" x14ac:dyDescent="0.45">
      <c r="A27" s="17">
        <v>444</v>
      </c>
      <c r="D27" s="17" t="s">
        <v>98</v>
      </c>
      <c r="E27" s="17" t="s">
        <v>54</v>
      </c>
      <c r="H27" s="18" t="s">
        <v>99</v>
      </c>
      <c r="I27" s="18"/>
      <c r="J27" s="17" t="s">
        <v>56</v>
      </c>
      <c r="M27" s="18"/>
      <c r="N27" s="18"/>
    </row>
    <row r="28" spans="1:15" s="17" customFormat="1" ht="71.25" hidden="1" x14ac:dyDescent="0.45">
      <c r="A28" s="17">
        <v>445</v>
      </c>
      <c r="D28" s="17" t="s">
        <v>100</v>
      </c>
      <c r="E28" s="17" t="s">
        <v>54</v>
      </c>
      <c r="H28" s="18" t="s">
        <v>101</v>
      </c>
      <c r="I28" s="18"/>
      <c r="J28" s="17" t="s">
        <v>56</v>
      </c>
      <c r="M28" s="18"/>
      <c r="N28" s="18"/>
    </row>
    <row r="29" spans="1:15" s="17" customFormat="1" ht="99.75" hidden="1" x14ac:dyDescent="0.45">
      <c r="A29" s="17">
        <v>446</v>
      </c>
      <c r="D29" s="17" t="s">
        <v>102</v>
      </c>
      <c r="E29" s="17" t="s">
        <v>54</v>
      </c>
      <c r="H29" s="18" t="s">
        <v>103</v>
      </c>
      <c r="I29" s="18"/>
      <c r="J29" s="17" t="s">
        <v>56</v>
      </c>
      <c r="M29" s="18"/>
      <c r="N29" s="18"/>
    </row>
    <row r="30" spans="1:15" s="17" customFormat="1" ht="57" hidden="1" x14ac:dyDescent="0.45">
      <c r="A30" s="17">
        <v>447</v>
      </c>
      <c r="D30" s="17" t="s">
        <v>104</v>
      </c>
      <c r="E30" s="17" t="s">
        <v>54</v>
      </c>
      <c r="H30" s="18" t="s">
        <v>105</v>
      </c>
      <c r="I30" s="18"/>
      <c r="J30" s="17" t="s">
        <v>106</v>
      </c>
      <c r="L30" s="17" t="s">
        <v>107</v>
      </c>
      <c r="M30" s="23" t="s">
        <v>108</v>
      </c>
      <c r="N30" s="23"/>
      <c r="O30" s="32"/>
    </row>
    <row r="31" spans="1:15" s="17" customFormat="1" ht="29.45" hidden="1" customHeight="1" x14ac:dyDescent="0.45">
      <c r="A31" s="17">
        <v>448</v>
      </c>
      <c r="D31" s="17" t="s">
        <v>109</v>
      </c>
      <c r="E31" s="17" t="s">
        <v>54</v>
      </c>
      <c r="H31" s="18"/>
      <c r="I31" s="18"/>
      <c r="J31" s="17" t="s">
        <v>106</v>
      </c>
      <c r="L31" s="17" t="s">
        <v>107</v>
      </c>
      <c r="M31" s="23" t="s">
        <v>108</v>
      </c>
      <c r="N31" s="23"/>
      <c r="O31" s="32"/>
    </row>
    <row r="32" spans="1:15" s="17" customFormat="1" ht="16.350000000000001" hidden="1" customHeight="1" x14ac:dyDescent="0.45">
      <c r="A32" s="17">
        <v>449</v>
      </c>
      <c r="D32" s="17" t="s">
        <v>110</v>
      </c>
      <c r="E32" s="17" t="s">
        <v>54</v>
      </c>
      <c r="H32" s="18"/>
      <c r="I32" s="18"/>
      <c r="J32" s="17" t="s">
        <v>106</v>
      </c>
      <c r="L32" s="17" t="s">
        <v>107</v>
      </c>
      <c r="M32" s="23" t="s">
        <v>108</v>
      </c>
      <c r="N32" s="23"/>
      <c r="O32" s="32"/>
    </row>
    <row r="33" spans="1:15" s="17" customFormat="1" ht="28.5" hidden="1" x14ac:dyDescent="0.45">
      <c r="A33" s="17">
        <v>450</v>
      </c>
      <c r="D33" s="17" t="s">
        <v>111</v>
      </c>
      <c r="E33" s="17" t="s">
        <v>54</v>
      </c>
      <c r="H33" s="18" t="s">
        <v>112</v>
      </c>
      <c r="I33" s="18"/>
      <c r="J33" s="17" t="s">
        <v>56</v>
      </c>
      <c r="M33" s="18"/>
      <c r="N33" s="18"/>
    </row>
    <row r="34" spans="1:15" s="17" customFormat="1" ht="42.75" hidden="1" x14ac:dyDescent="0.45">
      <c r="A34" s="17">
        <v>451</v>
      </c>
      <c r="D34" s="17" t="s">
        <v>113</v>
      </c>
      <c r="E34" s="17" t="s">
        <v>54</v>
      </c>
      <c r="H34" s="18" t="s">
        <v>114</v>
      </c>
      <c r="I34" s="18"/>
      <c r="J34" s="17" t="s">
        <v>56</v>
      </c>
      <c r="M34" s="18"/>
      <c r="N34" s="18"/>
    </row>
    <row r="35" spans="1:15" s="17" customFormat="1" ht="142.5" hidden="1" x14ac:dyDescent="0.45">
      <c r="A35" s="17">
        <v>452</v>
      </c>
      <c r="D35" s="17" t="s">
        <v>115</v>
      </c>
      <c r="E35" s="17" t="s">
        <v>54</v>
      </c>
      <c r="H35" s="18" t="s">
        <v>116</v>
      </c>
      <c r="I35" s="18"/>
      <c r="J35" s="17" t="s">
        <v>56</v>
      </c>
      <c r="M35" s="18"/>
      <c r="N35" s="18"/>
    </row>
    <row r="36" spans="1:15" s="17" customFormat="1" ht="42.75" hidden="1" x14ac:dyDescent="0.45">
      <c r="A36" s="17">
        <v>453</v>
      </c>
      <c r="D36" s="17" t="s">
        <v>117</v>
      </c>
      <c r="E36" s="17" t="s">
        <v>54</v>
      </c>
      <c r="H36" s="18" t="s">
        <v>118</v>
      </c>
      <c r="I36" s="18"/>
      <c r="J36" s="17" t="s">
        <v>56</v>
      </c>
      <c r="L36" s="17" t="s">
        <v>119</v>
      </c>
      <c r="M36" s="23" t="s">
        <v>120</v>
      </c>
      <c r="N36" s="23"/>
      <c r="O36" s="32"/>
    </row>
    <row r="37" spans="1:15" s="17" customFormat="1" ht="50.1" hidden="1" customHeight="1" x14ac:dyDescent="0.45">
      <c r="A37" s="17">
        <v>454</v>
      </c>
      <c r="D37" s="17" t="s">
        <v>121</v>
      </c>
      <c r="E37" s="17" t="s">
        <v>54</v>
      </c>
      <c r="H37" s="18" t="s">
        <v>122</v>
      </c>
      <c r="I37" s="18"/>
      <c r="J37" s="17" t="s">
        <v>56</v>
      </c>
      <c r="L37" s="17" t="s">
        <v>119</v>
      </c>
      <c r="M37" s="23" t="s">
        <v>120</v>
      </c>
      <c r="N37" s="23"/>
      <c r="O37" s="32"/>
    </row>
    <row r="38" spans="1:15" s="17" customFormat="1" ht="199.5" hidden="1" x14ac:dyDescent="0.45">
      <c r="A38" s="17">
        <v>455</v>
      </c>
      <c r="D38" s="17" t="s">
        <v>123</v>
      </c>
      <c r="E38" s="17" t="s">
        <v>54</v>
      </c>
      <c r="H38" s="18" t="s">
        <v>124</v>
      </c>
      <c r="I38" s="18"/>
      <c r="J38" s="17" t="s">
        <v>56</v>
      </c>
      <c r="M38" s="18"/>
      <c r="N38" s="18"/>
    </row>
    <row r="39" spans="1:15" s="17" customFormat="1" ht="213.75" hidden="1" x14ac:dyDescent="0.45">
      <c r="A39" s="17">
        <v>456</v>
      </c>
      <c r="D39" s="17" t="s">
        <v>125</v>
      </c>
      <c r="E39" s="17" t="s">
        <v>54</v>
      </c>
      <c r="H39" s="18" t="s">
        <v>126</v>
      </c>
      <c r="I39" s="18"/>
      <c r="J39" s="17" t="s">
        <v>56</v>
      </c>
      <c r="M39" s="18"/>
      <c r="N39" s="18"/>
    </row>
    <row r="40" spans="1:15" s="17" customFormat="1" ht="85.5" hidden="1" x14ac:dyDescent="0.45">
      <c r="A40" s="17">
        <v>457</v>
      </c>
      <c r="D40" s="17" t="s">
        <v>127</v>
      </c>
      <c r="E40" s="17" t="s">
        <v>54</v>
      </c>
      <c r="H40" s="18" t="s">
        <v>128</v>
      </c>
      <c r="I40" s="18"/>
      <c r="J40" s="17" t="s">
        <v>56</v>
      </c>
      <c r="M40" s="18"/>
      <c r="N40" s="18"/>
    </row>
    <row r="41" spans="1:15" s="17" customFormat="1" ht="71.25" hidden="1" x14ac:dyDescent="0.45">
      <c r="A41" s="17">
        <v>458</v>
      </c>
      <c r="D41" s="17" t="s">
        <v>129</v>
      </c>
      <c r="E41" s="17" t="s">
        <v>54</v>
      </c>
      <c r="H41" s="18" t="s">
        <v>130</v>
      </c>
      <c r="I41" s="18"/>
      <c r="J41" s="17" t="s">
        <v>56</v>
      </c>
      <c r="M41" s="18"/>
      <c r="N41" s="18"/>
    </row>
    <row r="42" spans="1:15" s="17" customFormat="1" ht="171" hidden="1" x14ac:dyDescent="0.45">
      <c r="A42" s="17">
        <v>459</v>
      </c>
      <c r="D42" s="17" t="s">
        <v>131</v>
      </c>
      <c r="E42" s="17" t="s">
        <v>54</v>
      </c>
      <c r="H42" s="18" t="s">
        <v>132</v>
      </c>
      <c r="I42" s="18"/>
      <c r="J42" s="17" t="s">
        <v>56</v>
      </c>
      <c r="M42" s="18"/>
      <c r="N42" s="18"/>
    </row>
    <row r="43" spans="1:15" s="17" customFormat="1" ht="42.75" hidden="1" x14ac:dyDescent="0.45">
      <c r="A43" s="17">
        <v>460</v>
      </c>
      <c r="D43" s="17" t="s">
        <v>133</v>
      </c>
      <c r="E43" s="17" t="s">
        <v>54</v>
      </c>
      <c r="H43" s="18" t="s">
        <v>134</v>
      </c>
      <c r="I43" s="18"/>
      <c r="J43" s="17" t="s">
        <v>56</v>
      </c>
      <c r="M43" s="18"/>
      <c r="N43" s="18"/>
    </row>
    <row r="44" spans="1:15" s="17" customFormat="1" ht="171" hidden="1" x14ac:dyDescent="0.45">
      <c r="A44" s="17">
        <v>461</v>
      </c>
      <c r="D44" s="17" t="s">
        <v>135</v>
      </c>
      <c r="E44" s="17" t="s">
        <v>54</v>
      </c>
      <c r="H44" s="18" t="s">
        <v>136</v>
      </c>
      <c r="I44" s="18"/>
      <c r="J44" s="17" t="s">
        <v>56</v>
      </c>
      <c r="M44" s="18"/>
      <c r="N44" s="18"/>
    </row>
    <row r="45" spans="1:15" s="17" customFormat="1" ht="71.25" hidden="1" x14ac:dyDescent="0.45">
      <c r="A45" s="17">
        <v>462</v>
      </c>
      <c r="D45" s="17" t="s">
        <v>137</v>
      </c>
      <c r="E45" s="17" t="s">
        <v>54</v>
      </c>
      <c r="H45" s="18" t="s">
        <v>138</v>
      </c>
      <c r="I45" s="18"/>
      <c r="J45" s="17" t="s">
        <v>56</v>
      </c>
      <c r="M45" s="18"/>
      <c r="N45" s="18"/>
    </row>
    <row r="46" spans="1:15" s="17" customFormat="1" ht="199.5" hidden="1" x14ac:dyDescent="0.45">
      <c r="A46" s="17">
        <v>463</v>
      </c>
      <c r="D46" s="17" t="s">
        <v>139</v>
      </c>
      <c r="E46" s="17" t="s">
        <v>54</v>
      </c>
      <c r="H46" s="18" t="s">
        <v>140</v>
      </c>
      <c r="I46" s="18"/>
      <c r="J46" s="17" t="s">
        <v>141</v>
      </c>
      <c r="L46" s="17" t="s">
        <v>107</v>
      </c>
      <c r="M46" s="23" t="s">
        <v>108</v>
      </c>
      <c r="N46" s="23"/>
      <c r="O46" s="32"/>
    </row>
    <row r="47" spans="1:15" s="17" customFormat="1" ht="409.5" hidden="1" x14ac:dyDescent="0.45">
      <c r="A47" s="17">
        <v>464</v>
      </c>
      <c r="D47" s="17" t="s">
        <v>142</v>
      </c>
      <c r="E47" s="17" t="s">
        <v>54</v>
      </c>
      <c r="H47" s="18" t="s">
        <v>143</v>
      </c>
      <c r="I47" s="18"/>
      <c r="J47" s="17" t="s">
        <v>56</v>
      </c>
      <c r="M47" s="18"/>
      <c r="N47" s="18"/>
    </row>
    <row r="48" spans="1:15" s="17" customFormat="1" ht="28.5" hidden="1" x14ac:dyDescent="0.45">
      <c r="A48" s="17">
        <v>465</v>
      </c>
      <c r="D48" s="17" t="s">
        <v>144</v>
      </c>
      <c r="E48" s="17" t="s">
        <v>54</v>
      </c>
      <c r="H48" s="18" t="s">
        <v>145</v>
      </c>
      <c r="I48" s="18"/>
      <c r="J48" s="17" t="s">
        <v>56</v>
      </c>
      <c r="M48" s="18"/>
      <c r="N48" s="18"/>
    </row>
    <row r="49" spans="1:19" s="17" customFormat="1" ht="128.25" hidden="1" x14ac:dyDescent="0.45">
      <c r="A49" s="17">
        <v>466</v>
      </c>
      <c r="D49" s="17" t="s">
        <v>146</v>
      </c>
      <c r="E49" s="17" t="s">
        <v>54</v>
      </c>
      <c r="H49" s="18" t="s">
        <v>147</v>
      </c>
      <c r="I49" s="18"/>
      <c r="J49" s="17" t="s">
        <v>56</v>
      </c>
      <c r="M49" s="18"/>
      <c r="N49" s="18"/>
    </row>
    <row r="50" spans="1:19" s="17" customFormat="1" ht="28.5" hidden="1" x14ac:dyDescent="0.45">
      <c r="A50" s="17">
        <v>467</v>
      </c>
      <c r="D50" s="17" t="s">
        <v>148</v>
      </c>
      <c r="E50" s="17" t="s">
        <v>54</v>
      </c>
      <c r="H50" s="18" t="s">
        <v>149</v>
      </c>
      <c r="I50" s="18"/>
      <c r="J50" s="17" t="s">
        <v>56</v>
      </c>
      <c r="M50" s="18"/>
      <c r="N50" s="18"/>
    </row>
    <row r="51" spans="1:19" s="17" customFormat="1" ht="42.75" hidden="1" x14ac:dyDescent="0.45">
      <c r="A51" s="17">
        <v>468</v>
      </c>
      <c r="D51" s="17" t="s">
        <v>150</v>
      </c>
      <c r="E51" s="17" t="s">
        <v>54</v>
      </c>
      <c r="H51" s="18" t="s">
        <v>151</v>
      </c>
      <c r="I51" s="18"/>
      <c r="J51" s="17" t="s">
        <v>83</v>
      </c>
      <c r="L51" s="17" t="s">
        <v>84</v>
      </c>
      <c r="M51" s="23" t="s">
        <v>85</v>
      </c>
      <c r="N51" s="23"/>
      <c r="O51" s="32"/>
    </row>
    <row r="52" spans="1:19" s="17" customFormat="1" ht="71.25" hidden="1" x14ac:dyDescent="0.45">
      <c r="A52" s="17">
        <v>469</v>
      </c>
      <c r="D52" s="17" t="s">
        <v>152</v>
      </c>
      <c r="E52" s="17" t="s">
        <v>54</v>
      </c>
      <c r="H52" s="18" t="s">
        <v>153</v>
      </c>
      <c r="I52" s="18"/>
      <c r="J52" s="17" t="s">
        <v>56</v>
      </c>
      <c r="M52" s="18"/>
      <c r="N52" s="18"/>
    </row>
    <row r="53" spans="1:19" s="17" customFormat="1" ht="409.5" hidden="1" x14ac:dyDescent="0.45">
      <c r="A53" s="17">
        <v>470</v>
      </c>
      <c r="D53" s="17" t="s">
        <v>154</v>
      </c>
      <c r="E53" s="17" t="s">
        <v>54</v>
      </c>
      <c r="H53" s="18" t="s">
        <v>155</v>
      </c>
      <c r="I53" s="18"/>
      <c r="J53" s="17" t="s">
        <v>56</v>
      </c>
      <c r="M53" s="18"/>
      <c r="N53" s="18"/>
    </row>
    <row r="54" spans="1:19" s="26" customFormat="1" ht="57" hidden="1" x14ac:dyDescent="0.45">
      <c r="A54" s="17">
        <v>471</v>
      </c>
      <c r="B54" s="17"/>
      <c r="C54" s="17"/>
      <c r="D54" s="17" t="s">
        <v>156</v>
      </c>
      <c r="E54" s="17" t="s">
        <v>54</v>
      </c>
      <c r="F54" s="17"/>
      <c r="G54" s="17"/>
      <c r="H54" s="18" t="s">
        <v>157</v>
      </c>
      <c r="I54" s="18"/>
      <c r="J54" s="17" t="s">
        <v>56</v>
      </c>
      <c r="K54" s="17"/>
      <c r="L54" s="17"/>
      <c r="M54" s="18"/>
      <c r="N54" s="18"/>
      <c r="O54" s="17"/>
      <c r="P54" s="17"/>
      <c r="Q54" s="17"/>
      <c r="R54" s="17"/>
      <c r="S54" s="17"/>
    </row>
    <row r="55" spans="1:19" s="17" customFormat="1" ht="114" hidden="1" x14ac:dyDescent="0.45">
      <c r="A55" s="17">
        <v>472</v>
      </c>
      <c r="D55" s="17" t="s">
        <v>158</v>
      </c>
      <c r="E55" s="17" t="s">
        <v>54</v>
      </c>
      <c r="H55" s="18" t="s">
        <v>159</v>
      </c>
      <c r="I55" s="18"/>
      <c r="J55" s="17" t="s">
        <v>56</v>
      </c>
      <c r="M55" s="18"/>
      <c r="N55" s="18"/>
    </row>
    <row r="56" spans="1:19" s="17" customFormat="1" ht="71.25" hidden="1" x14ac:dyDescent="0.45">
      <c r="A56" s="17">
        <v>473</v>
      </c>
      <c r="D56" s="17" t="s">
        <v>160</v>
      </c>
      <c r="E56" s="17" t="s">
        <v>54</v>
      </c>
      <c r="H56" s="18" t="s">
        <v>161</v>
      </c>
      <c r="I56" s="18"/>
      <c r="J56" s="17" t="s">
        <v>56</v>
      </c>
      <c r="M56" s="18"/>
      <c r="N56" s="18"/>
    </row>
    <row r="57" spans="1:19" s="17" customFormat="1" ht="85.5" hidden="1" x14ac:dyDescent="0.45">
      <c r="A57" s="17">
        <v>474</v>
      </c>
      <c r="D57" s="17" t="s">
        <v>162</v>
      </c>
      <c r="E57" s="17" t="s">
        <v>54</v>
      </c>
      <c r="H57" s="18" t="s">
        <v>163</v>
      </c>
      <c r="I57" s="18"/>
      <c r="J57" s="17" t="s">
        <v>56</v>
      </c>
      <c r="M57" s="18"/>
      <c r="N57" s="18"/>
    </row>
    <row r="58" spans="1:19" s="17" customFormat="1" ht="213.75" hidden="1" x14ac:dyDescent="0.45">
      <c r="A58" s="17">
        <v>475</v>
      </c>
      <c r="D58" s="17" t="s">
        <v>164</v>
      </c>
      <c r="E58" s="17" t="s">
        <v>54</v>
      </c>
      <c r="H58" s="18" t="s">
        <v>165</v>
      </c>
      <c r="I58" s="18"/>
      <c r="J58" s="17" t="s">
        <v>56</v>
      </c>
      <c r="M58" s="18"/>
      <c r="N58" s="18"/>
    </row>
    <row r="59" spans="1:19" s="17" customFormat="1" ht="99.75" hidden="1" x14ac:dyDescent="0.45">
      <c r="A59" s="17">
        <v>476</v>
      </c>
      <c r="D59" s="17" t="s">
        <v>166</v>
      </c>
      <c r="E59" s="17" t="s">
        <v>54</v>
      </c>
      <c r="H59" s="18" t="s">
        <v>167</v>
      </c>
      <c r="I59" s="18"/>
      <c r="J59" s="17" t="s">
        <v>56</v>
      </c>
      <c r="M59" s="18"/>
      <c r="N59" s="18"/>
    </row>
    <row r="60" spans="1:19" s="17" customFormat="1" ht="242.25" hidden="1" x14ac:dyDescent="0.45">
      <c r="A60" s="17">
        <v>477</v>
      </c>
      <c r="D60" s="17" t="s">
        <v>168</v>
      </c>
      <c r="E60" s="17" t="s">
        <v>54</v>
      </c>
      <c r="H60" s="18" t="s">
        <v>169</v>
      </c>
      <c r="I60" s="18"/>
      <c r="J60" s="17" t="s">
        <v>56</v>
      </c>
      <c r="M60" s="18"/>
      <c r="N60" s="18"/>
    </row>
    <row r="61" spans="1:19" s="17" customFormat="1" ht="85.5" hidden="1" x14ac:dyDescent="0.45">
      <c r="A61" s="17">
        <v>478</v>
      </c>
      <c r="D61" s="17" t="s">
        <v>170</v>
      </c>
      <c r="E61" s="17" t="s">
        <v>54</v>
      </c>
      <c r="H61" s="18" t="s">
        <v>171</v>
      </c>
      <c r="I61" s="18"/>
      <c r="J61" s="17" t="s">
        <v>56</v>
      </c>
      <c r="M61" s="18"/>
      <c r="N61" s="18"/>
    </row>
    <row r="62" spans="1:19" s="17" customFormat="1" ht="171" hidden="1" x14ac:dyDescent="0.45">
      <c r="A62" s="17">
        <v>479</v>
      </c>
      <c r="D62" s="17" t="s">
        <v>172</v>
      </c>
      <c r="E62" s="17" t="s">
        <v>54</v>
      </c>
      <c r="H62" s="18" t="s">
        <v>173</v>
      </c>
      <c r="I62" s="18"/>
      <c r="J62" s="17" t="s">
        <v>174</v>
      </c>
      <c r="L62" s="17" t="s">
        <v>175</v>
      </c>
      <c r="M62" s="23" t="s">
        <v>176</v>
      </c>
      <c r="N62" s="23"/>
      <c r="O62" s="32"/>
    </row>
    <row r="63" spans="1:19" s="17" customFormat="1" ht="28.5" hidden="1" x14ac:dyDescent="0.45">
      <c r="A63" s="17">
        <v>480</v>
      </c>
      <c r="D63" s="17" t="s">
        <v>177</v>
      </c>
      <c r="E63" s="17" t="s">
        <v>54</v>
      </c>
      <c r="H63" s="18" t="s">
        <v>178</v>
      </c>
      <c r="I63" s="18"/>
      <c r="J63" s="17" t="s">
        <v>56</v>
      </c>
      <c r="M63" s="18"/>
      <c r="N63" s="18"/>
    </row>
    <row r="64" spans="1:19" s="17" customFormat="1" ht="213.75" hidden="1" x14ac:dyDescent="0.45">
      <c r="A64" s="17">
        <v>481</v>
      </c>
      <c r="D64" s="17" t="s">
        <v>179</v>
      </c>
      <c r="E64" s="17" t="s">
        <v>54</v>
      </c>
      <c r="H64" s="18" t="s">
        <v>180</v>
      </c>
      <c r="I64" s="18"/>
      <c r="J64" s="17" t="s">
        <v>56</v>
      </c>
      <c r="M64" s="18"/>
      <c r="N64" s="18"/>
    </row>
    <row r="65" spans="1:15" s="17" customFormat="1" ht="28.5" hidden="1" x14ac:dyDescent="0.45">
      <c r="A65" s="17">
        <v>482</v>
      </c>
      <c r="D65" s="17" t="s">
        <v>181</v>
      </c>
      <c r="E65" s="17" t="s">
        <v>54</v>
      </c>
      <c r="H65" s="18" t="s">
        <v>182</v>
      </c>
      <c r="I65" s="18"/>
      <c r="J65" s="17" t="s">
        <v>56</v>
      </c>
      <c r="M65" s="18"/>
      <c r="N65" s="18"/>
    </row>
    <row r="66" spans="1:15" s="17" customFormat="1" ht="71.25" hidden="1" x14ac:dyDescent="0.45">
      <c r="A66" s="17">
        <v>483</v>
      </c>
      <c r="D66" s="17" t="s">
        <v>183</v>
      </c>
      <c r="E66" s="17" t="s">
        <v>54</v>
      </c>
      <c r="H66" s="18" t="s">
        <v>184</v>
      </c>
      <c r="I66" s="18"/>
      <c r="J66" s="17" t="s">
        <v>56</v>
      </c>
      <c r="M66" s="18"/>
      <c r="N66" s="18"/>
    </row>
    <row r="67" spans="1:15" s="17" customFormat="1" ht="114" hidden="1" x14ac:dyDescent="0.45">
      <c r="A67" s="17">
        <v>484</v>
      </c>
      <c r="D67" s="17" t="s">
        <v>185</v>
      </c>
      <c r="E67" s="17" t="s">
        <v>54</v>
      </c>
      <c r="H67" s="18" t="s">
        <v>186</v>
      </c>
      <c r="I67" s="18"/>
      <c r="J67" s="17" t="s">
        <v>56</v>
      </c>
      <c r="M67" s="18"/>
      <c r="N67" s="18"/>
    </row>
    <row r="68" spans="1:15" s="17" customFormat="1" ht="299.25" hidden="1" x14ac:dyDescent="0.45">
      <c r="A68" s="17">
        <v>485</v>
      </c>
      <c r="D68" s="17" t="s">
        <v>187</v>
      </c>
      <c r="E68" s="17" t="s">
        <v>54</v>
      </c>
      <c r="H68" s="18" t="s">
        <v>188</v>
      </c>
      <c r="I68" s="18"/>
      <c r="J68" s="17" t="s">
        <v>56</v>
      </c>
      <c r="M68" s="18"/>
      <c r="N68" s="18"/>
    </row>
    <row r="69" spans="1:15" s="17" customFormat="1" ht="99.75" hidden="1" x14ac:dyDescent="0.45">
      <c r="A69" s="17">
        <v>486</v>
      </c>
      <c r="D69" s="17" t="s">
        <v>189</v>
      </c>
      <c r="E69" s="17" t="s">
        <v>54</v>
      </c>
      <c r="H69" s="18" t="s">
        <v>190</v>
      </c>
      <c r="I69" s="18"/>
      <c r="J69" s="17" t="s">
        <v>56</v>
      </c>
      <c r="M69" s="18"/>
      <c r="N69" s="18"/>
    </row>
    <row r="70" spans="1:15" s="17" customFormat="1" ht="99.75" hidden="1" x14ac:dyDescent="0.45">
      <c r="A70" s="17">
        <v>487</v>
      </c>
      <c r="D70" s="17" t="s">
        <v>191</v>
      </c>
      <c r="E70" s="17" t="s">
        <v>54</v>
      </c>
      <c r="H70" s="18" t="s">
        <v>192</v>
      </c>
      <c r="I70" s="18"/>
      <c r="J70" s="17" t="s">
        <v>56</v>
      </c>
      <c r="M70" s="18"/>
      <c r="N70" s="18"/>
    </row>
    <row r="71" spans="1:15" s="17" customFormat="1" ht="28.5" hidden="1" x14ac:dyDescent="0.45">
      <c r="A71" s="17">
        <v>488</v>
      </c>
      <c r="D71" s="17" t="s">
        <v>193</v>
      </c>
      <c r="E71" s="17" t="s">
        <v>54</v>
      </c>
      <c r="H71" s="18" t="s">
        <v>194</v>
      </c>
      <c r="I71" s="18"/>
      <c r="J71" s="17" t="s">
        <v>56</v>
      </c>
      <c r="L71" s="17" t="s">
        <v>195</v>
      </c>
      <c r="M71" s="23" t="s">
        <v>196</v>
      </c>
      <c r="N71" s="23"/>
      <c r="O71" s="32"/>
    </row>
    <row r="72" spans="1:15" s="17" customFormat="1" ht="71.25" hidden="1" x14ac:dyDescent="0.45">
      <c r="A72" s="17">
        <v>489</v>
      </c>
      <c r="D72" s="17" t="s">
        <v>197</v>
      </c>
      <c r="E72" s="17" t="s">
        <v>54</v>
      </c>
      <c r="H72" s="18" t="s">
        <v>198</v>
      </c>
      <c r="I72" s="18"/>
      <c r="J72" s="17" t="s">
        <v>56</v>
      </c>
      <c r="L72" s="17" t="s">
        <v>199</v>
      </c>
      <c r="M72" s="23" t="s">
        <v>200</v>
      </c>
      <c r="N72" s="23"/>
      <c r="O72" s="32"/>
    </row>
    <row r="73" spans="1:15" s="17" customFormat="1" ht="171" hidden="1" x14ac:dyDescent="0.45">
      <c r="A73" s="17">
        <v>490</v>
      </c>
      <c r="D73" s="17" t="s">
        <v>201</v>
      </c>
      <c r="E73" s="17" t="s">
        <v>54</v>
      </c>
      <c r="H73" s="18" t="s">
        <v>202</v>
      </c>
      <c r="I73" s="18"/>
      <c r="J73" s="17" t="s">
        <v>56</v>
      </c>
      <c r="M73" s="18"/>
      <c r="N73" s="18"/>
    </row>
    <row r="74" spans="1:15" s="17" customFormat="1" hidden="1" x14ac:dyDescent="0.45">
      <c r="A74" s="17">
        <v>491</v>
      </c>
      <c r="D74" s="17" t="s">
        <v>203</v>
      </c>
      <c r="E74" s="17" t="s">
        <v>54</v>
      </c>
      <c r="H74" s="18"/>
      <c r="I74" s="18"/>
      <c r="J74" s="17" t="s">
        <v>56</v>
      </c>
      <c r="M74" s="18"/>
      <c r="N74" s="18"/>
    </row>
    <row r="75" spans="1:15" s="17" customFormat="1" ht="156.75" hidden="1" x14ac:dyDescent="0.45">
      <c r="A75" s="17">
        <v>492</v>
      </c>
      <c r="D75" s="17" t="s">
        <v>204</v>
      </c>
      <c r="E75" s="17" t="s">
        <v>54</v>
      </c>
      <c r="H75" s="18" t="s">
        <v>205</v>
      </c>
      <c r="I75" s="18"/>
      <c r="J75" s="17" t="s">
        <v>56</v>
      </c>
      <c r="M75" s="18"/>
      <c r="N75" s="18"/>
    </row>
    <row r="76" spans="1:15" s="17" customFormat="1" ht="256.5" hidden="1" x14ac:dyDescent="0.45">
      <c r="A76" s="17">
        <v>493</v>
      </c>
      <c r="D76" s="17" t="s">
        <v>206</v>
      </c>
      <c r="E76" s="17" t="s">
        <v>54</v>
      </c>
      <c r="H76" s="18" t="s">
        <v>207</v>
      </c>
      <c r="I76" s="18"/>
      <c r="J76" s="17" t="s">
        <v>56</v>
      </c>
      <c r="M76" s="18"/>
      <c r="N76" s="18"/>
    </row>
    <row r="77" spans="1:15" s="17" customFormat="1" ht="71.25" hidden="1" x14ac:dyDescent="0.45">
      <c r="A77" s="17">
        <v>494</v>
      </c>
      <c r="D77" s="17" t="s">
        <v>208</v>
      </c>
      <c r="E77" s="17" t="s">
        <v>54</v>
      </c>
      <c r="H77" s="18" t="s">
        <v>209</v>
      </c>
      <c r="I77" s="18"/>
      <c r="J77" s="17" t="s">
        <v>56</v>
      </c>
      <c r="L77" s="17" t="s">
        <v>210</v>
      </c>
      <c r="M77" s="23" t="s">
        <v>211</v>
      </c>
      <c r="N77" s="23"/>
      <c r="O77" s="32"/>
    </row>
    <row r="78" spans="1:15" s="17" customFormat="1" ht="242.25" hidden="1" x14ac:dyDescent="0.45">
      <c r="A78" s="17">
        <v>495</v>
      </c>
      <c r="D78" s="17" t="s">
        <v>212</v>
      </c>
      <c r="E78" s="17" t="s">
        <v>54</v>
      </c>
      <c r="H78" s="18" t="s">
        <v>213</v>
      </c>
      <c r="I78" s="18"/>
      <c r="J78" s="17" t="s">
        <v>56</v>
      </c>
      <c r="M78" s="18"/>
      <c r="N78" s="18"/>
    </row>
    <row r="79" spans="1:15" s="17" customFormat="1" ht="99.75" hidden="1" x14ac:dyDescent="0.45">
      <c r="A79" s="17">
        <v>496</v>
      </c>
      <c r="D79" s="17" t="s">
        <v>214</v>
      </c>
      <c r="E79" s="17" t="s">
        <v>54</v>
      </c>
      <c r="H79" s="18" t="s">
        <v>215</v>
      </c>
      <c r="I79" s="18"/>
      <c r="J79" s="17" t="s">
        <v>56</v>
      </c>
      <c r="M79" s="18"/>
      <c r="N79" s="18"/>
    </row>
    <row r="80" spans="1:15" s="17" customFormat="1" ht="42.75" hidden="1" x14ac:dyDescent="0.45">
      <c r="A80" s="17">
        <v>497</v>
      </c>
      <c r="D80" s="17" t="s">
        <v>216</v>
      </c>
      <c r="E80" s="17" t="s">
        <v>54</v>
      </c>
      <c r="H80" s="18" t="s">
        <v>217</v>
      </c>
      <c r="I80" s="18"/>
      <c r="J80" s="17" t="s">
        <v>141</v>
      </c>
      <c r="L80" s="17" t="s">
        <v>107</v>
      </c>
      <c r="M80" s="23" t="s">
        <v>108</v>
      </c>
      <c r="N80" s="23"/>
      <c r="O80" s="32"/>
    </row>
    <row r="81" spans="1:19" s="17" customFormat="1" ht="299.25" hidden="1" x14ac:dyDescent="0.45">
      <c r="A81" s="17">
        <v>498</v>
      </c>
      <c r="D81" s="17" t="s">
        <v>218</v>
      </c>
      <c r="E81" s="17" t="s">
        <v>54</v>
      </c>
      <c r="H81" s="18" t="s">
        <v>219</v>
      </c>
      <c r="I81" s="18"/>
      <c r="J81" s="17" t="s">
        <v>141</v>
      </c>
      <c r="L81" s="17" t="s">
        <v>107</v>
      </c>
      <c r="M81" s="23" t="s">
        <v>108</v>
      </c>
      <c r="N81" s="23"/>
      <c r="O81" s="32"/>
    </row>
    <row r="82" spans="1:19" s="17" customFormat="1" ht="28.5" hidden="1" x14ac:dyDescent="0.45">
      <c r="A82" s="17">
        <v>499</v>
      </c>
      <c r="D82" s="17" t="s">
        <v>220</v>
      </c>
      <c r="E82" s="17" t="s">
        <v>54</v>
      </c>
      <c r="H82" s="18" t="s">
        <v>221</v>
      </c>
      <c r="I82" s="18"/>
      <c r="J82" s="17" t="s">
        <v>141</v>
      </c>
      <c r="L82" s="17" t="s">
        <v>107</v>
      </c>
      <c r="M82" s="23" t="s">
        <v>108</v>
      </c>
      <c r="N82" s="23"/>
      <c r="O82" s="32"/>
    </row>
    <row r="83" spans="1:19" s="17" customFormat="1" ht="43.35" hidden="1" customHeight="1" x14ac:dyDescent="0.45">
      <c r="A83" s="17">
        <v>500</v>
      </c>
      <c r="D83" s="17" t="s">
        <v>222</v>
      </c>
      <c r="E83" s="17" t="s">
        <v>54</v>
      </c>
      <c r="H83" s="18"/>
      <c r="I83" s="18"/>
      <c r="J83" s="17" t="s">
        <v>56</v>
      </c>
      <c r="M83" s="18"/>
      <c r="N83" s="18"/>
    </row>
    <row r="84" spans="1:19" s="26" customFormat="1" ht="28.5" hidden="1" x14ac:dyDescent="0.45">
      <c r="A84" s="17">
        <v>501</v>
      </c>
      <c r="B84" s="17"/>
      <c r="C84" s="17"/>
      <c r="D84" s="17" t="s">
        <v>223</v>
      </c>
      <c r="E84" s="17" t="s">
        <v>54</v>
      </c>
      <c r="F84" s="17"/>
      <c r="G84" s="17"/>
      <c r="H84" s="18" t="s">
        <v>224</v>
      </c>
      <c r="I84" s="18"/>
      <c r="J84" s="17" t="s">
        <v>225</v>
      </c>
      <c r="K84" s="17"/>
      <c r="L84" s="17" t="s">
        <v>107</v>
      </c>
      <c r="M84" s="23" t="s">
        <v>108</v>
      </c>
      <c r="N84" s="23"/>
      <c r="O84" s="32"/>
      <c r="P84" s="17"/>
      <c r="Q84" s="17"/>
      <c r="R84" s="17"/>
      <c r="S84" s="17"/>
    </row>
    <row r="85" spans="1:19" s="17" customFormat="1" ht="156.75" hidden="1" x14ac:dyDescent="0.45">
      <c r="A85" s="17">
        <v>502</v>
      </c>
      <c r="D85" s="17" t="s">
        <v>226</v>
      </c>
      <c r="E85" s="17" t="s">
        <v>54</v>
      </c>
      <c r="H85" s="18" t="s">
        <v>227</v>
      </c>
      <c r="I85" s="18"/>
      <c r="J85" s="17" t="s">
        <v>225</v>
      </c>
      <c r="L85" s="17" t="s">
        <v>107</v>
      </c>
      <c r="M85" s="23" t="s">
        <v>108</v>
      </c>
      <c r="N85" s="23"/>
      <c r="O85" s="32"/>
    </row>
    <row r="86" spans="1:19" s="17" customFormat="1" ht="114" hidden="1" x14ac:dyDescent="0.45">
      <c r="A86" s="17">
        <v>503</v>
      </c>
      <c r="D86" s="17" t="s">
        <v>228</v>
      </c>
      <c r="E86" s="17" t="s">
        <v>54</v>
      </c>
      <c r="H86" s="18" t="s">
        <v>229</v>
      </c>
      <c r="I86" s="18"/>
      <c r="J86" s="17" t="s">
        <v>225</v>
      </c>
      <c r="L86" s="17" t="s">
        <v>107</v>
      </c>
      <c r="M86" s="23" t="s">
        <v>108</v>
      </c>
      <c r="N86" s="23"/>
      <c r="O86" s="32"/>
    </row>
    <row r="87" spans="1:19" s="17" customFormat="1" ht="28.5" hidden="1" x14ac:dyDescent="0.45">
      <c r="A87" s="17">
        <v>504</v>
      </c>
      <c r="D87" s="17" t="s">
        <v>230</v>
      </c>
      <c r="E87" s="17" t="s">
        <v>54</v>
      </c>
      <c r="H87" s="18" t="s">
        <v>231</v>
      </c>
      <c r="I87" s="18"/>
      <c r="J87" s="17" t="s">
        <v>225</v>
      </c>
      <c r="L87" s="17" t="s">
        <v>107</v>
      </c>
      <c r="M87" s="23" t="s">
        <v>108</v>
      </c>
      <c r="N87" s="23"/>
      <c r="O87" s="32"/>
    </row>
    <row r="88" spans="1:19" s="17" customFormat="1" ht="43.35" hidden="1" customHeight="1" x14ac:dyDescent="0.45">
      <c r="A88" s="17">
        <v>505</v>
      </c>
      <c r="D88" s="17" t="s">
        <v>232</v>
      </c>
      <c r="E88" s="17" t="s">
        <v>54</v>
      </c>
      <c r="H88" s="18" t="s">
        <v>233</v>
      </c>
      <c r="I88" s="18"/>
      <c r="J88" s="17" t="s">
        <v>56</v>
      </c>
      <c r="M88" s="18"/>
      <c r="N88" s="18"/>
    </row>
    <row r="89" spans="1:19" s="17" customFormat="1" ht="63" hidden="1" customHeight="1" x14ac:dyDescent="0.45">
      <c r="A89" s="17">
        <v>506</v>
      </c>
      <c r="D89" s="17" t="s">
        <v>234</v>
      </c>
      <c r="E89" s="17" t="s">
        <v>54</v>
      </c>
      <c r="H89" s="18" t="s">
        <v>235</v>
      </c>
      <c r="I89" s="18"/>
      <c r="J89" s="17" t="s">
        <v>56</v>
      </c>
      <c r="M89" s="18"/>
      <c r="N89" s="18"/>
    </row>
    <row r="90" spans="1:19" s="17" customFormat="1" ht="213.75" hidden="1" x14ac:dyDescent="0.45">
      <c r="A90" s="17">
        <v>507</v>
      </c>
      <c r="D90" s="17" t="s">
        <v>236</v>
      </c>
      <c r="E90" s="17" t="s">
        <v>54</v>
      </c>
      <c r="H90" s="18" t="s">
        <v>237</v>
      </c>
      <c r="I90" s="18"/>
      <c r="J90" s="17" t="s">
        <v>56</v>
      </c>
      <c r="M90" s="18"/>
      <c r="N90" s="18"/>
    </row>
    <row r="91" spans="1:19" s="17" customFormat="1" ht="156.75" hidden="1" x14ac:dyDescent="0.45">
      <c r="A91" s="17">
        <v>508</v>
      </c>
      <c r="D91" s="17" t="s">
        <v>238</v>
      </c>
      <c r="E91" s="17" t="s">
        <v>54</v>
      </c>
      <c r="H91" s="18" t="s">
        <v>239</v>
      </c>
      <c r="I91" s="18"/>
      <c r="J91" s="17" t="s">
        <v>56</v>
      </c>
      <c r="M91" s="18"/>
      <c r="N91" s="18"/>
    </row>
    <row r="92" spans="1:19" s="17" customFormat="1" ht="42.75" hidden="1" x14ac:dyDescent="0.45">
      <c r="A92" s="17">
        <v>509</v>
      </c>
      <c r="D92" s="17" t="s">
        <v>240</v>
      </c>
      <c r="E92" s="17" t="s">
        <v>54</v>
      </c>
      <c r="H92" s="18" t="s">
        <v>241</v>
      </c>
      <c r="I92" s="18"/>
      <c r="J92" s="17" t="s">
        <v>56</v>
      </c>
      <c r="M92" s="18"/>
      <c r="N92" s="18"/>
    </row>
    <row r="93" spans="1:19" s="17" customFormat="1" ht="42.75" hidden="1" x14ac:dyDescent="0.45">
      <c r="A93" s="17">
        <v>510</v>
      </c>
      <c r="D93" s="17" t="s">
        <v>242</v>
      </c>
      <c r="E93" s="17" t="s">
        <v>54</v>
      </c>
      <c r="H93" s="18" t="s">
        <v>243</v>
      </c>
      <c r="I93" s="18"/>
      <c r="J93" s="17" t="s">
        <v>56</v>
      </c>
      <c r="M93" s="18"/>
      <c r="N93" s="18"/>
    </row>
    <row r="94" spans="1:19" s="17" customFormat="1" hidden="1" x14ac:dyDescent="0.45">
      <c r="A94" s="17">
        <v>511</v>
      </c>
      <c r="D94" s="17" t="s">
        <v>244</v>
      </c>
      <c r="E94" s="17" t="s">
        <v>245</v>
      </c>
      <c r="H94" s="18"/>
      <c r="I94" s="18"/>
      <c r="J94" s="17" t="s">
        <v>56</v>
      </c>
      <c r="M94" s="18"/>
      <c r="N94" s="18"/>
    </row>
    <row r="95" spans="1:19" s="17" customFormat="1" ht="28.5" hidden="1" x14ac:dyDescent="0.45">
      <c r="A95" s="17">
        <v>512</v>
      </c>
      <c r="D95" s="17" t="s">
        <v>246</v>
      </c>
      <c r="E95" s="17" t="s">
        <v>245</v>
      </c>
      <c r="H95" s="18"/>
      <c r="I95" s="18"/>
      <c r="J95" s="17" t="s">
        <v>106</v>
      </c>
      <c r="L95" s="17" t="s">
        <v>107</v>
      </c>
      <c r="M95" s="23" t="s">
        <v>108</v>
      </c>
      <c r="N95" s="23"/>
      <c r="O95" s="32"/>
    </row>
    <row r="96" spans="1:19" s="17" customFormat="1" ht="114" hidden="1" x14ac:dyDescent="0.45">
      <c r="A96" s="17">
        <v>513</v>
      </c>
      <c r="D96" s="17" t="s">
        <v>247</v>
      </c>
      <c r="E96" s="17" t="s">
        <v>245</v>
      </c>
      <c r="H96" s="18"/>
      <c r="I96" s="18"/>
      <c r="J96" s="17" t="s">
        <v>106</v>
      </c>
      <c r="L96" s="17" t="s">
        <v>248</v>
      </c>
      <c r="M96" s="23" t="s">
        <v>249</v>
      </c>
      <c r="N96" s="23"/>
      <c r="O96" s="32"/>
    </row>
    <row r="97" spans="1:15" s="17" customFormat="1" ht="28.5" hidden="1" x14ac:dyDescent="0.45">
      <c r="A97" s="17">
        <v>514</v>
      </c>
      <c r="D97" s="17" t="s">
        <v>250</v>
      </c>
      <c r="E97" s="17" t="s">
        <v>245</v>
      </c>
      <c r="H97" s="18"/>
      <c r="I97" s="18"/>
      <c r="J97" s="17" t="s">
        <v>251</v>
      </c>
      <c r="L97" s="17" t="s">
        <v>107</v>
      </c>
      <c r="M97" s="23" t="s">
        <v>108</v>
      </c>
      <c r="N97" s="23"/>
      <c r="O97" s="32"/>
    </row>
    <row r="98" spans="1:15" s="17" customFormat="1" ht="28.5" hidden="1" x14ac:dyDescent="0.45">
      <c r="A98" s="17">
        <v>515</v>
      </c>
      <c r="D98" s="17" t="s">
        <v>252</v>
      </c>
      <c r="E98" s="17" t="s">
        <v>245</v>
      </c>
      <c r="H98" s="18"/>
      <c r="I98" s="18"/>
      <c r="J98" s="17" t="s">
        <v>251</v>
      </c>
      <c r="L98" s="17" t="s">
        <v>107</v>
      </c>
      <c r="M98" s="23" t="s">
        <v>108</v>
      </c>
      <c r="N98" s="23"/>
      <c r="O98" s="32"/>
    </row>
    <row r="99" spans="1:15" s="17" customFormat="1" ht="28.5" hidden="1" x14ac:dyDescent="0.45">
      <c r="A99" s="17">
        <v>516</v>
      </c>
      <c r="D99" s="17" t="s">
        <v>253</v>
      </c>
      <c r="E99" s="17" t="s">
        <v>245</v>
      </c>
      <c r="H99" s="18"/>
      <c r="I99" s="18"/>
      <c r="J99" s="17" t="s">
        <v>225</v>
      </c>
      <c r="L99" s="17" t="s">
        <v>107</v>
      </c>
      <c r="M99" s="23" t="s">
        <v>108</v>
      </c>
      <c r="N99" s="23"/>
      <c r="O99" s="32"/>
    </row>
    <row r="100" spans="1:15" s="17" customFormat="1" ht="28.5" hidden="1" x14ac:dyDescent="0.45">
      <c r="A100" s="17">
        <v>517</v>
      </c>
      <c r="D100" s="17" t="s">
        <v>254</v>
      </c>
      <c r="E100" s="17" t="s">
        <v>245</v>
      </c>
      <c r="H100" s="18"/>
      <c r="I100" s="18"/>
      <c r="J100" s="17" t="s">
        <v>225</v>
      </c>
      <c r="L100" s="17" t="s">
        <v>107</v>
      </c>
      <c r="M100" s="23" t="s">
        <v>108</v>
      </c>
      <c r="N100" s="23"/>
      <c r="O100" s="32"/>
    </row>
    <row r="101" spans="1:15" s="17" customFormat="1" ht="28.5" hidden="1" x14ac:dyDescent="0.45">
      <c r="A101" s="17">
        <v>518</v>
      </c>
      <c r="D101" s="17" t="s">
        <v>255</v>
      </c>
      <c r="E101" s="17" t="s">
        <v>245</v>
      </c>
      <c r="H101" s="18"/>
      <c r="I101" s="18"/>
      <c r="J101" s="17" t="s">
        <v>225</v>
      </c>
      <c r="L101" s="17" t="s">
        <v>107</v>
      </c>
      <c r="M101" s="23" t="s">
        <v>108</v>
      </c>
      <c r="N101" s="23"/>
      <c r="O101" s="32"/>
    </row>
    <row r="102" spans="1:15" s="17" customFormat="1" ht="28.5" hidden="1" x14ac:dyDescent="0.45">
      <c r="A102" s="17">
        <v>519</v>
      </c>
      <c r="D102" s="17" t="s">
        <v>256</v>
      </c>
      <c r="E102" s="17" t="s">
        <v>245</v>
      </c>
      <c r="H102" s="18"/>
      <c r="I102" s="18"/>
      <c r="J102" s="17" t="s">
        <v>225</v>
      </c>
      <c r="L102" s="17" t="s">
        <v>107</v>
      </c>
      <c r="M102" s="23" t="s">
        <v>108</v>
      </c>
      <c r="N102" s="23"/>
      <c r="O102" s="32"/>
    </row>
    <row r="103" spans="1:15" s="17" customFormat="1" hidden="1" x14ac:dyDescent="0.45">
      <c r="A103" s="17">
        <v>520</v>
      </c>
      <c r="D103" s="17" t="s">
        <v>257</v>
      </c>
      <c r="E103" s="17" t="s">
        <v>258</v>
      </c>
      <c r="H103" s="18"/>
      <c r="I103" s="18"/>
      <c r="J103" s="17" t="s">
        <v>56</v>
      </c>
      <c r="M103" s="18"/>
      <c r="N103" s="18"/>
    </row>
    <row r="104" spans="1:15" s="17" customFormat="1" hidden="1" x14ac:dyDescent="0.45">
      <c r="A104" s="17">
        <v>521</v>
      </c>
      <c r="D104" s="17" t="s">
        <v>259</v>
      </c>
      <c r="E104" s="17" t="s">
        <v>258</v>
      </c>
      <c r="H104" s="18"/>
      <c r="I104" s="18"/>
      <c r="J104" s="17" t="s">
        <v>56</v>
      </c>
      <c r="M104" s="18"/>
      <c r="N104" s="18"/>
    </row>
    <row r="105" spans="1:15" s="17" customFormat="1" hidden="1" x14ac:dyDescent="0.45">
      <c r="A105" s="17">
        <v>522</v>
      </c>
      <c r="D105" s="17" t="s">
        <v>260</v>
      </c>
      <c r="E105" s="17" t="s">
        <v>258</v>
      </c>
      <c r="H105" s="18"/>
      <c r="I105" s="18"/>
      <c r="J105" s="17" t="s">
        <v>56</v>
      </c>
      <c r="M105" s="18"/>
      <c r="N105" s="18"/>
    </row>
    <row r="106" spans="1:15" s="17" customFormat="1" ht="28.5" hidden="1" x14ac:dyDescent="0.45">
      <c r="A106" s="17">
        <v>523</v>
      </c>
      <c r="D106" s="17" t="s">
        <v>261</v>
      </c>
      <c r="E106" s="17" t="s">
        <v>262</v>
      </c>
      <c r="H106" s="18" t="s">
        <v>263</v>
      </c>
      <c r="I106" s="18"/>
      <c r="J106" s="17" t="s">
        <v>56</v>
      </c>
      <c r="M106" s="18"/>
      <c r="N106" s="18"/>
    </row>
    <row r="107" spans="1:15" s="17" customFormat="1" ht="28.5" hidden="1" x14ac:dyDescent="0.45">
      <c r="A107" s="17">
        <v>524</v>
      </c>
      <c r="D107" s="17" t="s">
        <v>264</v>
      </c>
      <c r="E107" s="17" t="s">
        <v>262</v>
      </c>
      <c r="H107" s="18" t="s">
        <v>265</v>
      </c>
      <c r="I107" s="18"/>
      <c r="J107" s="17" t="s">
        <v>56</v>
      </c>
      <c r="L107" s="17" t="s">
        <v>210</v>
      </c>
      <c r="M107" s="23" t="s">
        <v>211</v>
      </c>
      <c r="N107" s="23"/>
      <c r="O107" s="32"/>
    </row>
    <row r="108" spans="1:15" s="17" customFormat="1" ht="28.5" hidden="1" x14ac:dyDescent="0.45">
      <c r="A108" s="17">
        <v>525</v>
      </c>
      <c r="D108" s="17" t="s">
        <v>266</v>
      </c>
      <c r="E108" s="17" t="s">
        <v>262</v>
      </c>
      <c r="H108" s="18" t="s">
        <v>267</v>
      </c>
      <c r="I108" s="18"/>
      <c r="J108" s="17" t="s">
        <v>56</v>
      </c>
      <c r="M108" s="18"/>
      <c r="N108" s="18"/>
    </row>
    <row r="109" spans="1:15" s="17" customFormat="1" ht="99.75" hidden="1" x14ac:dyDescent="0.45">
      <c r="A109" s="17">
        <v>526</v>
      </c>
      <c r="D109" s="17" t="s">
        <v>268</v>
      </c>
      <c r="E109" s="17" t="s">
        <v>262</v>
      </c>
      <c r="H109" s="18" t="s">
        <v>269</v>
      </c>
      <c r="I109" s="18"/>
      <c r="J109" s="17" t="s">
        <v>56</v>
      </c>
      <c r="M109" s="18"/>
      <c r="N109" s="18"/>
    </row>
    <row r="110" spans="1:15" s="17" customFormat="1" ht="28.5" hidden="1" x14ac:dyDescent="0.45">
      <c r="A110" s="17">
        <v>527</v>
      </c>
      <c r="D110" s="17" t="s">
        <v>270</v>
      </c>
      <c r="E110" s="17" t="s">
        <v>262</v>
      </c>
      <c r="H110" s="18" t="s">
        <v>271</v>
      </c>
      <c r="I110" s="18"/>
      <c r="J110" s="17" t="s">
        <v>56</v>
      </c>
      <c r="L110" s="17" t="s">
        <v>210</v>
      </c>
      <c r="M110" s="23" t="s">
        <v>211</v>
      </c>
      <c r="N110" s="23"/>
      <c r="O110" s="32"/>
    </row>
    <row r="111" spans="1:15" s="17" customFormat="1" ht="42.75" hidden="1" x14ac:dyDescent="0.45">
      <c r="A111" s="17">
        <v>528</v>
      </c>
      <c r="D111" s="17" t="s">
        <v>272</v>
      </c>
      <c r="E111" s="17" t="s">
        <v>262</v>
      </c>
      <c r="H111" s="18" t="s">
        <v>273</v>
      </c>
      <c r="I111" s="18"/>
      <c r="J111" s="17" t="s">
        <v>225</v>
      </c>
      <c r="L111" s="17" t="s">
        <v>107</v>
      </c>
      <c r="M111" s="23" t="s">
        <v>108</v>
      </c>
      <c r="N111" s="23"/>
      <c r="O111" s="32"/>
    </row>
    <row r="112" spans="1:15" s="17" customFormat="1" ht="28.5" hidden="1" x14ac:dyDescent="0.45">
      <c r="A112" s="17">
        <v>529</v>
      </c>
      <c r="D112" s="17" t="s">
        <v>274</v>
      </c>
      <c r="E112" s="17" t="s">
        <v>262</v>
      </c>
      <c r="H112" s="18" t="s">
        <v>275</v>
      </c>
      <c r="I112" s="18"/>
      <c r="J112" s="17" t="s">
        <v>56</v>
      </c>
      <c r="M112" s="18"/>
      <c r="N112" s="18"/>
    </row>
    <row r="113" spans="1:15" s="17" customFormat="1" hidden="1" x14ac:dyDescent="0.45">
      <c r="A113" s="17">
        <v>530</v>
      </c>
      <c r="D113" s="17" t="s">
        <v>276</v>
      </c>
      <c r="E113" s="17" t="s">
        <v>262</v>
      </c>
      <c r="H113" s="18" t="s">
        <v>277</v>
      </c>
      <c r="I113" s="18"/>
      <c r="J113" s="17" t="s">
        <v>56</v>
      </c>
      <c r="M113" s="18"/>
      <c r="N113" s="18"/>
    </row>
    <row r="114" spans="1:15" s="17" customFormat="1" ht="199.5" hidden="1" x14ac:dyDescent="0.45">
      <c r="A114" s="17">
        <v>531</v>
      </c>
      <c r="D114" s="17" t="s">
        <v>278</v>
      </c>
      <c r="E114" s="17" t="s">
        <v>262</v>
      </c>
      <c r="H114" s="18" t="s">
        <v>279</v>
      </c>
      <c r="I114" s="18"/>
      <c r="J114" s="17" t="s">
        <v>56</v>
      </c>
      <c r="M114" s="18"/>
      <c r="N114" s="18"/>
    </row>
    <row r="115" spans="1:15" s="17" customFormat="1" ht="42.75" hidden="1" x14ac:dyDescent="0.45">
      <c r="A115" s="17">
        <v>532</v>
      </c>
      <c r="D115" s="17" t="s">
        <v>280</v>
      </c>
      <c r="E115" s="17" t="s">
        <v>262</v>
      </c>
      <c r="H115" s="18" t="s">
        <v>281</v>
      </c>
      <c r="I115" s="18"/>
      <c r="J115" s="17" t="s">
        <v>56</v>
      </c>
      <c r="M115" s="18"/>
      <c r="N115" s="18"/>
    </row>
    <row r="116" spans="1:15" s="17" customFormat="1" ht="28.5" hidden="1" x14ac:dyDescent="0.45">
      <c r="A116" s="17">
        <v>533</v>
      </c>
      <c r="D116" s="17" t="s">
        <v>282</v>
      </c>
      <c r="E116" s="17" t="s">
        <v>262</v>
      </c>
      <c r="H116" s="18" t="s">
        <v>283</v>
      </c>
      <c r="I116" s="18"/>
      <c r="J116" s="17" t="s">
        <v>56</v>
      </c>
      <c r="L116" s="17" t="s">
        <v>210</v>
      </c>
      <c r="M116" s="23" t="s">
        <v>211</v>
      </c>
      <c r="N116" s="23"/>
      <c r="O116" s="32"/>
    </row>
    <row r="117" spans="1:15" s="17" customFormat="1" hidden="1" x14ac:dyDescent="0.45">
      <c r="A117" s="17">
        <v>534</v>
      </c>
      <c r="D117" s="17" t="s">
        <v>284</v>
      </c>
      <c r="E117" s="17" t="s">
        <v>262</v>
      </c>
      <c r="H117" s="18" t="s">
        <v>285</v>
      </c>
      <c r="I117" s="18"/>
      <c r="J117" s="17" t="s">
        <v>56</v>
      </c>
      <c r="M117" s="18"/>
      <c r="N117" s="18"/>
    </row>
    <row r="118" spans="1:15" s="17" customFormat="1" ht="28.5" hidden="1" x14ac:dyDescent="0.45">
      <c r="A118" s="17">
        <v>535</v>
      </c>
      <c r="D118" s="17" t="s">
        <v>286</v>
      </c>
      <c r="E118" s="17" t="s">
        <v>262</v>
      </c>
      <c r="H118" s="18"/>
      <c r="I118" s="18"/>
      <c r="J118" s="17" t="s">
        <v>251</v>
      </c>
      <c r="L118" s="17" t="s">
        <v>107</v>
      </c>
      <c r="M118" s="23" t="s">
        <v>108</v>
      </c>
      <c r="N118" s="23"/>
      <c r="O118" s="32"/>
    </row>
    <row r="119" spans="1:15" s="17" customFormat="1" ht="142.5" hidden="1" x14ac:dyDescent="0.45">
      <c r="A119" s="17">
        <v>536</v>
      </c>
      <c r="D119" s="17" t="s">
        <v>287</v>
      </c>
      <c r="E119" s="17" t="s">
        <v>262</v>
      </c>
      <c r="H119" s="18" t="s">
        <v>288</v>
      </c>
      <c r="I119" s="18"/>
      <c r="J119" s="17" t="s">
        <v>56</v>
      </c>
      <c r="M119" s="18"/>
      <c r="N119" s="18"/>
    </row>
    <row r="120" spans="1:15" s="17" customFormat="1" ht="42.75" hidden="1" x14ac:dyDescent="0.45">
      <c r="A120" s="17">
        <v>537</v>
      </c>
      <c r="D120" s="17" t="s">
        <v>289</v>
      </c>
      <c r="E120" s="17" t="s">
        <v>262</v>
      </c>
      <c r="H120" s="18" t="s">
        <v>290</v>
      </c>
      <c r="I120" s="18"/>
      <c r="J120" s="17" t="s">
        <v>56</v>
      </c>
      <c r="L120" s="17" t="s">
        <v>291</v>
      </c>
      <c r="M120" s="23" t="s">
        <v>292</v>
      </c>
      <c r="N120" s="23"/>
      <c r="O120" s="32"/>
    </row>
    <row r="121" spans="1:15" s="17" customFormat="1" ht="28.5" hidden="1" x14ac:dyDescent="0.45">
      <c r="A121" s="17">
        <v>538</v>
      </c>
      <c r="D121" s="17" t="s">
        <v>293</v>
      </c>
      <c r="E121" s="17" t="s">
        <v>262</v>
      </c>
      <c r="H121" s="18" t="s">
        <v>294</v>
      </c>
      <c r="I121" s="18"/>
      <c r="J121" s="17" t="s">
        <v>56</v>
      </c>
      <c r="M121" s="18"/>
      <c r="N121" s="18"/>
    </row>
    <row r="122" spans="1:15" s="17" customFormat="1" ht="156.75" hidden="1" x14ac:dyDescent="0.45">
      <c r="A122" s="17">
        <v>539</v>
      </c>
      <c r="D122" s="17" t="s">
        <v>295</v>
      </c>
      <c r="E122" s="17" t="s">
        <v>262</v>
      </c>
      <c r="H122" s="18" t="s">
        <v>296</v>
      </c>
      <c r="I122" s="18"/>
      <c r="J122" s="17" t="s">
        <v>56</v>
      </c>
      <c r="L122" s="17" t="s">
        <v>297</v>
      </c>
      <c r="M122" s="23" t="s">
        <v>298</v>
      </c>
      <c r="N122" s="23"/>
      <c r="O122" s="32"/>
    </row>
    <row r="123" spans="1:15" s="17" customFormat="1" ht="28.5" hidden="1" x14ac:dyDescent="0.45">
      <c r="A123" s="17">
        <v>540</v>
      </c>
      <c r="D123" s="17" t="s">
        <v>299</v>
      </c>
      <c r="E123" s="17" t="s">
        <v>262</v>
      </c>
      <c r="H123" s="18" t="s">
        <v>300</v>
      </c>
      <c r="I123" s="18"/>
      <c r="J123" s="17" t="s">
        <v>56</v>
      </c>
      <c r="M123" s="18"/>
      <c r="N123" s="18"/>
    </row>
    <row r="124" spans="1:15" s="17" customFormat="1" ht="28.5" hidden="1" x14ac:dyDescent="0.45">
      <c r="A124" s="17">
        <v>541</v>
      </c>
      <c r="D124" s="17" t="s">
        <v>301</v>
      </c>
      <c r="E124" s="17" t="s">
        <v>262</v>
      </c>
      <c r="H124" s="18" t="s">
        <v>302</v>
      </c>
      <c r="I124" s="18"/>
      <c r="J124" s="17" t="s">
        <v>56</v>
      </c>
      <c r="M124" s="18"/>
      <c r="N124" s="18"/>
    </row>
    <row r="125" spans="1:15" s="17" customFormat="1" ht="28.5" hidden="1" x14ac:dyDescent="0.45">
      <c r="A125" s="17">
        <v>542</v>
      </c>
      <c r="D125" s="17" t="s">
        <v>303</v>
      </c>
      <c r="E125" s="17" t="s">
        <v>262</v>
      </c>
      <c r="H125" s="18" t="s">
        <v>304</v>
      </c>
      <c r="I125" s="18"/>
      <c r="J125" s="17" t="s">
        <v>56</v>
      </c>
      <c r="M125" s="18"/>
      <c r="N125" s="18"/>
    </row>
    <row r="126" spans="1:15" s="17" customFormat="1" hidden="1" x14ac:dyDescent="0.45">
      <c r="A126" s="17">
        <v>543</v>
      </c>
      <c r="D126" s="17" t="s">
        <v>305</v>
      </c>
      <c r="E126" s="17" t="s">
        <v>262</v>
      </c>
      <c r="H126" s="18" t="s">
        <v>306</v>
      </c>
      <c r="I126" s="18"/>
      <c r="J126" s="17" t="s">
        <v>56</v>
      </c>
      <c r="M126" s="18"/>
      <c r="N126" s="18"/>
    </row>
    <row r="127" spans="1:15" s="17" customFormat="1" ht="99.75" hidden="1" x14ac:dyDescent="0.45">
      <c r="A127" s="17">
        <v>544</v>
      </c>
      <c r="D127" s="17" t="s">
        <v>307</v>
      </c>
      <c r="E127" s="17" t="s">
        <v>262</v>
      </c>
      <c r="H127" s="18" t="s">
        <v>308</v>
      </c>
      <c r="I127" s="18"/>
      <c r="J127" s="17" t="s">
        <v>56</v>
      </c>
      <c r="M127" s="18"/>
      <c r="N127" s="18"/>
    </row>
    <row r="128" spans="1:15" s="17" customFormat="1" ht="171" hidden="1" x14ac:dyDescent="0.45">
      <c r="A128" s="17">
        <v>545</v>
      </c>
      <c r="D128" s="17" t="s">
        <v>309</v>
      </c>
      <c r="E128" s="17" t="s">
        <v>262</v>
      </c>
      <c r="H128" s="18" t="s">
        <v>310</v>
      </c>
      <c r="I128" s="18"/>
      <c r="J128" s="17" t="s">
        <v>311</v>
      </c>
      <c r="M128" s="18"/>
      <c r="N128" s="18"/>
    </row>
    <row r="129" spans="1:15" s="17" customFormat="1" hidden="1" x14ac:dyDescent="0.45">
      <c r="A129" s="17">
        <v>546</v>
      </c>
      <c r="D129" s="17" t="s">
        <v>312</v>
      </c>
      <c r="E129" s="17" t="s">
        <v>262</v>
      </c>
      <c r="H129" s="18" t="s">
        <v>313</v>
      </c>
      <c r="I129" s="18"/>
      <c r="J129" s="17" t="s">
        <v>56</v>
      </c>
      <c r="M129" s="18"/>
      <c r="N129" s="18"/>
    </row>
    <row r="130" spans="1:15" s="17" customFormat="1" ht="57" hidden="1" x14ac:dyDescent="0.45">
      <c r="A130" s="17">
        <v>547</v>
      </c>
      <c r="D130" s="17" t="s">
        <v>314</v>
      </c>
      <c r="E130" s="17" t="s">
        <v>262</v>
      </c>
      <c r="H130" s="18" t="s">
        <v>315</v>
      </c>
      <c r="I130" s="18"/>
      <c r="J130" s="17" t="s">
        <v>83</v>
      </c>
      <c r="L130" s="17" t="s">
        <v>316</v>
      </c>
      <c r="M130" s="23" t="s">
        <v>317</v>
      </c>
      <c r="N130" s="23"/>
      <c r="O130" s="32"/>
    </row>
    <row r="131" spans="1:15" s="17" customFormat="1" hidden="1" x14ac:dyDescent="0.45">
      <c r="A131" s="17">
        <v>548</v>
      </c>
      <c r="D131" s="17" t="s">
        <v>318</v>
      </c>
      <c r="E131" s="17" t="s">
        <v>262</v>
      </c>
      <c r="H131" s="18" t="s">
        <v>319</v>
      </c>
      <c r="I131" s="18"/>
      <c r="J131" s="17" t="s">
        <v>56</v>
      </c>
      <c r="M131" s="18"/>
      <c r="N131" s="18"/>
    </row>
    <row r="132" spans="1:15" s="17" customFormat="1" ht="99.75" hidden="1" x14ac:dyDescent="0.45">
      <c r="A132" s="17">
        <v>549</v>
      </c>
      <c r="D132" s="17" t="s">
        <v>320</v>
      </c>
      <c r="E132" s="17" t="s">
        <v>262</v>
      </c>
      <c r="H132" s="18" t="s">
        <v>321</v>
      </c>
      <c r="I132" s="18"/>
      <c r="J132" s="17" t="s">
        <v>56</v>
      </c>
      <c r="M132" s="18"/>
      <c r="N132" s="18"/>
    </row>
    <row r="133" spans="1:15" s="17" customFormat="1" ht="71.25" hidden="1" x14ac:dyDescent="0.45">
      <c r="A133" s="17">
        <v>550</v>
      </c>
      <c r="D133" s="17" t="s">
        <v>322</v>
      </c>
      <c r="E133" s="17" t="s">
        <v>262</v>
      </c>
      <c r="H133" s="18" t="s">
        <v>323</v>
      </c>
      <c r="I133" s="18"/>
      <c r="J133" s="17" t="s">
        <v>56</v>
      </c>
      <c r="M133" s="18"/>
      <c r="N133" s="18"/>
    </row>
    <row r="134" spans="1:15" s="17" customFormat="1" hidden="1" x14ac:dyDescent="0.45">
      <c r="A134" s="17">
        <v>551</v>
      </c>
      <c r="D134" s="17" t="s">
        <v>324</v>
      </c>
      <c r="E134" s="17" t="s">
        <v>262</v>
      </c>
      <c r="H134" s="18" t="s">
        <v>325</v>
      </c>
      <c r="I134" s="18"/>
      <c r="J134" s="17" t="s">
        <v>56</v>
      </c>
      <c r="M134" s="18"/>
      <c r="N134" s="18"/>
    </row>
    <row r="135" spans="1:15" s="17" customFormat="1" hidden="1" x14ac:dyDescent="0.45">
      <c r="A135" s="17">
        <v>552</v>
      </c>
      <c r="D135" s="17" t="s">
        <v>326</v>
      </c>
      <c r="E135" s="17" t="s">
        <v>262</v>
      </c>
      <c r="H135" s="18" t="s">
        <v>327</v>
      </c>
      <c r="I135" s="18"/>
      <c r="J135" s="17" t="s">
        <v>56</v>
      </c>
      <c r="M135" s="18"/>
      <c r="N135" s="18"/>
    </row>
    <row r="136" spans="1:15" s="17" customFormat="1" ht="42.75" hidden="1" x14ac:dyDescent="0.45">
      <c r="A136" s="17">
        <v>553</v>
      </c>
      <c r="D136" s="17" t="s">
        <v>328</v>
      </c>
      <c r="E136" s="17" t="s">
        <v>262</v>
      </c>
      <c r="H136" s="18" t="s">
        <v>329</v>
      </c>
      <c r="I136" s="18"/>
      <c r="J136" s="17" t="s">
        <v>56</v>
      </c>
      <c r="M136" s="18"/>
      <c r="N136" s="18"/>
    </row>
    <row r="137" spans="1:15" s="17" customFormat="1" hidden="1" x14ac:dyDescent="0.45">
      <c r="A137" s="17">
        <v>554</v>
      </c>
      <c r="D137" s="17" t="s">
        <v>330</v>
      </c>
      <c r="E137" s="17" t="s">
        <v>262</v>
      </c>
      <c r="H137" s="18" t="s">
        <v>331</v>
      </c>
      <c r="I137" s="18"/>
      <c r="J137" s="17" t="s">
        <v>56</v>
      </c>
      <c r="M137" s="18"/>
      <c r="N137" s="18"/>
    </row>
    <row r="138" spans="1:15" s="17" customFormat="1" ht="28.5" hidden="1" x14ac:dyDescent="0.45">
      <c r="A138" s="17">
        <v>555</v>
      </c>
      <c r="D138" s="17" t="s">
        <v>332</v>
      </c>
      <c r="E138" s="17" t="s">
        <v>262</v>
      </c>
      <c r="H138" s="18" t="s">
        <v>333</v>
      </c>
      <c r="I138" s="18"/>
      <c r="J138" s="17" t="s">
        <v>56</v>
      </c>
      <c r="M138" s="18"/>
      <c r="N138" s="18"/>
    </row>
    <row r="139" spans="1:15" s="17" customFormat="1" ht="114" hidden="1" x14ac:dyDescent="0.45">
      <c r="A139" s="17">
        <v>556</v>
      </c>
      <c r="D139" s="17" t="s">
        <v>334</v>
      </c>
      <c r="E139" s="17" t="s">
        <v>262</v>
      </c>
      <c r="H139" s="18" t="s">
        <v>335</v>
      </c>
      <c r="I139" s="18"/>
      <c r="J139" s="17" t="s">
        <v>56</v>
      </c>
      <c r="L139" s="17" t="s">
        <v>336</v>
      </c>
      <c r="M139" s="23" t="s">
        <v>337</v>
      </c>
      <c r="N139" s="23"/>
      <c r="O139" s="32"/>
    </row>
    <row r="140" spans="1:15" s="17" customFormat="1" ht="28.5" hidden="1" x14ac:dyDescent="0.45">
      <c r="A140" s="17">
        <v>557</v>
      </c>
      <c r="D140" s="17" t="s">
        <v>338</v>
      </c>
      <c r="E140" s="17" t="s">
        <v>262</v>
      </c>
      <c r="H140" s="18" t="s">
        <v>339</v>
      </c>
      <c r="I140" s="18"/>
      <c r="J140" s="17" t="s">
        <v>56</v>
      </c>
      <c r="L140" s="17" t="s">
        <v>210</v>
      </c>
      <c r="M140" s="23" t="s">
        <v>211</v>
      </c>
      <c r="N140" s="23"/>
      <c r="O140" s="32"/>
    </row>
    <row r="141" spans="1:15" s="17" customFormat="1" ht="28.5" hidden="1" x14ac:dyDescent="0.45">
      <c r="A141" s="17">
        <v>558</v>
      </c>
      <c r="D141" s="17" t="s">
        <v>340</v>
      </c>
      <c r="E141" s="17" t="s">
        <v>262</v>
      </c>
      <c r="H141" s="18" t="s">
        <v>341</v>
      </c>
      <c r="I141" s="18"/>
      <c r="J141" s="17" t="s">
        <v>56</v>
      </c>
      <c r="L141" s="17" t="s">
        <v>210</v>
      </c>
      <c r="M141" s="23" t="s">
        <v>211</v>
      </c>
      <c r="N141" s="23"/>
      <c r="O141" s="32"/>
    </row>
    <row r="142" spans="1:15" s="17" customFormat="1" ht="42.75" hidden="1" x14ac:dyDescent="0.45">
      <c r="A142" s="17">
        <v>559</v>
      </c>
      <c r="D142" s="17" t="s">
        <v>342</v>
      </c>
      <c r="E142" s="17" t="s">
        <v>262</v>
      </c>
      <c r="H142" s="18" t="s">
        <v>343</v>
      </c>
      <c r="I142" s="18"/>
      <c r="J142" s="17" t="s">
        <v>56</v>
      </c>
      <c r="M142" s="18"/>
      <c r="N142" s="18"/>
    </row>
    <row r="143" spans="1:15" s="17" customFormat="1" ht="28.5" hidden="1" x14ac:dyDescent="0.45">
      <c r="A143" s="17">
        <v>560</v>
      </c>
      <c r="D143" s="17" t="s">
        <v>344</v>
      </c>
      <c r="E143" s="17" t="s">
        <v>262</v>
      </c>
      <c r="H143" s="18"/>
      <c r="I143" s="18"/>
      <c r="J143" s="17" t="s">
        <v>106</v>
      </c>
      <c r="L143" s="17" t="s">
        <v>107</v>
      </c>
      <c r="M143" s="23" t="s">
        <v>108</v>
      </c>
      <c r="N143" s="23"/>
      <c r="O143" s="32"/>
    </row>
    <row r="144" spans="1:15" s="17" customFormat="1" ht="114" hidden="1" x14ac:dyDescent="0.45">
      <c r="A144" s="17">
        <v>561</v>
      </c>
      <c r="D144" s="17" t="s">
        <v>345</v>
      </c>
      <c r="E144" s="17" t="s">
        <v>262</v>
      </c>
      <c r="H144" s="18"/>
      <c r="I144" s="18"/>
      <c r="J144" s="17" t="s">
        <v>106</v>
      </c>
      <c r="L144" s="17" t="s">
        <v>248</v>
      </c>
      <c r="M144" s="23" t="s">
        <v>249</v>
      </c>
      <c r="N144" s="23"/>
      <c r="O144" s="32"/>
    </row>
    <row r="145" spans="1:15" s="17" customFormat="1" ht="28.5" hidden="1" x14ac:dyDescent="0.45">
      <c r="A145" s="17">
        <v>562</v>
      </c>
      <c r="D145" s="17" t="s">
        <v>346</v>
      </c>
      <c r="E145" s="17" t="s">
        <v>262</v>
      </c>
      <c r="H145" s="18"/>
      <c r="I145" s="18"/>
      <c r="J145" s="17" t="s">
        <v>106</v>
      </c>
      <c r="L145" s="17" t="s">
        <v>107</v>
      </c>
      <c r="M145" s="23" t="s">
        <v>108</v>
      </c>
      <c r="N145" s="23"/>
      <c r="O145" s="32"/>
    </row>
    <row r="146" spans="1:15" s="17" customFormat="1" hidden="1" x14ac:dyDescent="0.45">
      <c r="A146" s="17">
        <v>563</v>
      </c>
      <c r="D146" s="17" t="s">
        <v>347</v>
      </c>
      <c r="E146" s="17" t="s">
        <v>262</v>
      </c>
      <c r="H146" s="18" t="s">
        <v>348</v>
      </c>
      <c r="I146" s="18"/>
      <c r="J146" s="17" t="s">
        <v>56</v>
      </c>
      <c r="M146" s="18"/>
      <c r="N146" s="18"/>
    </row>
    <row r="147" spans="1:15" s="17" customFormat="1" hidden="1" x14ac:dyDescent="0.45">
      <c r="A147" s="17">
        <v>564</v>
      </c>
      <c r="D147" s="17" t="s">
        <v>349</v>
      </c>
      <c r="E147" s="17" t="s">
        <v>262</v>
      </c>
      <c r="H147" s="18" t="s">
        <v>350</v>
      </c>
      <c r="I147" s="18"/>
      <c r="J147" s="17" t="s">
        <v>56</v>
      </c>
      <c r="M147" s="18"/>
      <c r="N147" s="18"/>
    </row>
    <row r="148" spans="1:15" s="17" customFormat="1" ht="370.5" hidden="1" x14ac:dyDescent="0.45">
      <c r="A148" s="17">
        <v>565</v>
      </c>
      <c r="D148" s="17" t="s">
        <v>351</v>
      </c>
      <c r="E148" s="17" t="s">
        <v>262</v>
      </c>
      <c r="H148" s="18" t="s">
        <v>352</v>
      </c>
      <c r="I148" s="18"/>
      <c r="J148" s="17" t="s">
        <v>56</v>
      </c>
      <c r="M148" s="18"/>
      <c r="N148" s="18"/>
    </row>
    <row r="149" spans="1:15" s="17" customFormat="1" hidden="1" x14ac:dyDescent="0.45">
      <c r="A149" s="17">
        <v>566</v>
      </c>
      <c r="D149" s="17" t="s">
        <v>353</v>
      </c>
      <c r="E149" s="17" t="s">
        <v>262</v>
      </c>
      <c r="H149" s="18" t="s">
        <v>354</v>
      </c>
      <c r="I149" s="18"/>
      <c r="J149" s="17" t="s">
        <v>56</v>
      </c>
      <c r="M149" s="18"/>
      <c r="N149" s="18"/>
    </row>
    <row r="150" spans="1:15" s="17" customFormat="1" hidden="1" x14ac:dyDescent="0.45">
      <c r="A150" s="17">
        <v>567</v>
      </c>
      <c r="D150" s="17" t="s">
        <v>355</v>
      </c>
      <c r="E150" s="17" t="s">
        <v>262</v>
      </c>
      <c r="H150" s="18" t="s">
        <v>356</v>
      </c>
      <c r="I150" s="18"/>
      <c r="J150" s="17" t="s">
        <v>56</v>
      </c>
      <c r="M150" s="18"/>
      <c r="N150" s="18"/>
    </row>
    <row r="151" spans="1:15" s="17" customFormat="1" hidden="1" x14ac:dyDescent="0.45">
      <c r="A151" s="17">
        <v>568</v>
      </c>
      <c r="D151" s="17" t="s">
        <v>357</v>
      </c>
      <c r="E151" s="17" t="s">
        <v>262</v>
      </c>
      <c r="H151" s="18" t="s">
        <v>358</v>
      </c>
      <c r="I151" s="18"/>
      <c r="J151" s="17" t="s">
        <v>56</v>
      </c>
      <c r="M151" s="18"/>
      <c r="N151" s="18"/>
    </row>
    <row r="152" spans="1:15" s="17" customFormat="1" ht="28.5" hidden="1" x14ac:dyDescent="0.45">
      <c r="A152" s="17">
        <v>569</v>
      </c>
      <c r="D152" s="17" t="s">
        <v>359</v>
      </c>
      <c r="E152" s="17" t="s">
        <v>262</v>
      </c>
      <c r="H152" s="18" t="s">
        <v>360</v>
      </c>
      <c r="I152" s="18"/>
      <c r="J152" s="17" t="s">
        <v>56</v>
      </c>
      <c r="L152" s="17" t="s">
        <v>119</v>
      </c>
      <c r="M152" s="23" t="s">
        <v>120</v>
      </c>
      <c r="N152" s="23"/>
      <c r="O152" s="32"/>
    </row>
    <row r="153" spans="1:15" s="17" customFormat="1" ht="28.5" hidden="1" x14ac:dyDescent="0.45">
      <c r="A153" s="17">
        <v>570</v>
      </c>
      <c r="D153" s="17" t="s">
        <v>361</v>
      </c>
      <c r="E153" s="17" t="s">
        <v>262</v>
      </c>
      <c r="H153" s="18" t="s">
        <v>362</v>
      </c>
      <c r="I153" s="18"/>
      <c r="J153" s="17" t="s">
        <v>56</v>
      </c>
      <c r="L153" s="17" t="s">
        <v>119</v>
      </c>
      <c r="M153" s="23" t="s">
        <v>120</v>
      </c>
      <c r="N153" s="23"/>
      <c r="O153" s="32"/>
    </row>
    <row r="154" spans="1:15" s="17" customFormat="1" ht="71.25" hidden="1" x14ac:dyDescent="0.45">
      <c r="A154" s="17">
        <v>571</v>
      </c>
      <c r="D154" s="17" t="s">
        <v>363</v>
      </c>
      <c r="E154" s="17" t="s">
        <v>262</v>
      </c>
      <c r="H154" s="18" t="s">
        <v>364</v>
      </c>
      <c r="I154" s="18"/>
      <c r="J154" s="17" t="s">
        <v>56</v>
      </c>
      <c r="M154" s="18"/>
      <c r="N154" s="18"/>
    </row>
    <row r="155" spans="1:15" s="17" customFormat="1" ht="99.75" hidden="1" x14ac:dyDescent="0.45">
      <c r="A155" s="17">
        <v>572</v>
      </c>
      <c r="D155" s="17" t="s">
        <v>365</v>
      </c>
      <c r="E155" s="17" t="s">
        <v>262</v>
      </c>
      <c r="H155" s="18" t="s">
        <v>366</v>
      </c>
      <c r="I155" s="18"/>
      <c r="J155" s="17" t="s">
        <v>56</v>
      </c>
      <c r="M155" s="18"/>
      <c r="N155" s="18"/>
    </row>
    <row r="156" spans="1:15" s="17" customFormat="1" ht="85.5" hidden="1" x14ac:dyDescent="0.45">
      <c r="A156" s="17">
        <v>573</v>
      </c>
      <c r="D156" s="17" t="s">
        <v>367</v>
      </c>
      <c r="E156" s="17" t="s">
        <v>262</v>
      </c>
      <c r="H156" s="18" t="s">
        <v>368</v>
      </c>
      <c r="I156" s="18"/>
      <c r="J156" s="17" t="s">
        <v>56</v>
      </c>
      <c r="M156" s="18"/>
      <c r="N156" s="18"/>
    </row>
    <row r="157" spans="1:15" s="17" customFormat="1" ht="114" hidden="1" x14ac:dyDescent="0.45">
      <c r="A157" s="17">
        <v>574</v>
      </c>
      <c r="D157" s="17" t="s">
        <v>369</v>
      </c>
      <c r="E157" s="17" t="s">
        <v>262</v>
      </c>
      <c r="H157" s="18" t="s">
        <v>370</v>
      </c>
      <c r="I157" s="18"/>
      <c r="J157" s="17" t="s">
        <v>56</v>
      </c>
      <c r="L157" s="17" t="s">
        <v>371</v>
      </c>
      <c r="M157" s="23" t="s">
        <v>372</v>
      </c>
      <c r="N157" s="23"/>
      <c r="O157" s="32"/>
    </row>
    <row r="158" spans="1:15" s="17" customFormat="1" ht="114" hidden="1" x14ac:dyDescent="0.45">
      <c r="A158" s="17">
        <v>575</v>
      </c>
      <c r="D158" s="17" t="s">
        <v>373</v>
      </c>
      <c r="E158" s="17" t="s">
        <v>262</v>
      </c>
      <c r="H158" s="18" t="s">
        <v>374</v>
      </c>
      <c r="I158" s="18"/>
      <c r="J158" s="17" t="s">
        <v>56</v>
      </c>
      <c r="M158" s="18"/>
      <c r="N158" s="18"/>
    </row>
    <row r="159" spans="1:15" s="17" customFormat="1" ht="28.5" hidden="1" x14ac:dyDescent="0.45">
      <c r="A159" s="17">
        <v>576</v>
      </c>
      <c r="D159" s="17" t="s">
        <v>375</v>
      </c>
      <c r="E159" s="17" t="s">
        <v>262</v>
      </c>
      <c r="H159" s="18" t="s">
        <v>376</v>
      </c>
      <c r="I159" s="18"/>
      <c r="J159" s="17" t="s">
        <v>56</v>
      </c>
      <c r="M159" s="18"/>
      <c r="N159" s="18"/>
    </row>
    <row r="160" spans="1:15" s="17" customFormat="1" hidden="1" x14ac:dyDescent="0.45">
      <c r="A160" s="17">
        <v>577</v>
      </c>
      <c r="D160" s="17" t="s">
        <v>377</v>
      </c>
      <c r="E160" s="17" t="s">
        <v>262</v>
      </c>
      <c r="H160" s="18" t="s">
        <v>378</v>
      </c>
      <c r="I160" s="18"/>
      <c r="J160" s="17" t="s">
        <v>56</v>
      </c>
      <c r="M160" s="18"/>
      <c r="N160" s="18"/>
    </row>
    <row r="161" spans="1:15" s="17" customFormat="1" ht="156.75" hidden="1" x14ac:dyDescent="0.45">
      <c r="A161" s="17">
        <v>578</v>
      </c>
      <c r="D161" s="17" t="s">
        <v>379</v>
      </c>
      <c r="E161" s="17" t="s">
        <v>262</v>
      </c>
      <c r="H161" s="18" t="s">
        <v>380</v>
      </c>
      <c r="I161" s="18"/>
      <c r="J161" s="17" t="s">
        <v>56</v>
      </c>
      <c r="L161" s="17" t="s">
        <v>210</v>
      </c>
      <c r="M161" s="23" t="s">
        <v>211</v>
      </c>
      <c r="N161" s="23"/>
      <c r="O161" s="32"/>
    </row>
    <row r="162" spans="1:15" s="17" customFormat="1" ht="28.5" hidden="1" x14ac:dyDescent="0.45">
      <c r="A162" s="17">
        <v>579</v>
      </c>
      <c r="D162" s="17" t="s">
        <v>381</v>
      </c>
      <c r="E162" s="17" t="s">
        <v>262</v>
      </c>
      <c r="H162" s="18" t="s">
        <v>382</v>
      </c>
      <c r="I162" s="18"/>
      <c r="J162" s="17" t="s">
        <v>56</v>
      </c>
      <c r="L162" s="17" t="s">
        <v>210</v>
      </c>
      <c r="M162" s="23" t="s">
        <v>211</v>
      </c>
      <c r="N162" s="23"/>
      <c r="O162" s="32"/>
    </row>
    <row r="163" spans="1:15" s="17" customFormat="1" ht="71.25" hidden="1" x14ac:dyDescent="0.45">
      <c r="A163" s="17">
        <v>580</v>
      </c>
      <c r="D163" s="17" t="s">
        <v>383</v>
      </c>
      <c r="E163" s="17" t="s">
        <v>262</v>
      </c>
      <c r="H163" s="18" t="s">
        <v>384</v>
      </c>
      <c r="I163" s="18"/>
      <c r="J163" s="17" t="s">
        <v>56</v>
      </c>
      <c r="M163" s="18"/>
      <c r="N163" s="18"/>
    </row>
    <row r="164" spans="1:15" s="17" customFormat="1" ht="71.25" hidden="1" x14ac:dyDescent="0.45">
      <c r="A164" s="17">
        <v>581</v>
      </c>
      <c r="D164" s="17" t="s">
        <v>385</v>
      </c>
      <c r="E164" s="17" t="s">
        <v>262</v>
      </c>
      <c r="H164" s="18" t="s">
        <v>386</v>
      </c>
      <c r="I164" s="18"/>
      <c r="J164" s="17" t="s">
        <v>56</v>
      </c>
      <c r="L164" s="17" t="s">
        <v>210</v>
      </c>
      <c r="M164" s="23" t="s">
        <v>211</v>
      </c>
      <c r="N164" s="23"/>
      <c r="O164" s="32"/>
    </row>
    <row r="165" spans="1:15" s="17" customFormat="1" ht="128.25" hidden="1" x14ac:dyDescent="0.45">
      <c r="A165" s="17">
        <v>582</v>
      </c>
      <c r="D165" s="17" t="s">
        <v>387</v>
      </c>
      <c r="E165" s="17" t="s">
        <v>262</v>
      </c>
      <c r="H165" s="18" t="s">
        <v>388</v>
      </c>
      <c r="I165" s="18"/>
      <c r="J165" s="17" t="s">
        <v>56</v>
      </c>
      <c r="L165" s="17" t="s">
        <v>210</v>
      </c>
      <c r="M165" s="23" t="s">
        <v>211</v>
      </c>
      <c r="N165" s="23"/>
      <c r="O165" s="32"/>
    </row>
    <row r="166" spans="1:15" s="17" customFormat="1" ht="57" hidden="1" x14ac:dyDescent="0.45">
      <c r="A166" s="17">
        <v>583</v>
      </c>
      <c r="D166" s="17" t="s">
        <v>389</v>
      </c>
      <c r="E166" s="17" t="s">
        <v>262</v>
      </c>
      <c r="H166" s="18" t="s">
        <v>390</v>
      </c>
      <c r="I166" s="18"/>
      <c r="J166" s="17" t="s">
        <v>56</v>
      </c>
      <c r="M166" s="18"/>
      <c r="N166" s="18"/>
    </row>
    <row r="167" spans="1:15" s="17" customFormat="1" ht="28.5" hidden="1" x14ac:dyDescent="0.45">
      <c r="A167" s="17">
        <v>584</v>
      </c>
      <c r="D167" s="17" t="s">
        <v>391</v>
      </c>
      <c r="E167" s="17" t="s">
        <v>262</v>
      </c>
      <c r="H167" s="18" t="s">
        <v>392</v>
      </c>
      <c r="I167" s="18"/>
      <c r="J167" s="17" t="s">
        <v>56</v>
      </c>
      <c r="M167" s="18"/>
      <c r="N167" s="18"/>
    </row>
    <row r="168" spans="1:15" s="17" customFormat="1" ht="28.5" hidden="1" x14ac:dyDescent="0.45">
      <c r="A168" s="17">
        <v>585</v>
      </c>
      <c r="D168" s="17" t="s">
        <v>393</v>
      </c>
      <c r="E168" s="17" t="s">
        <v>262</v>
      </c>
      <c r="H168" s="18" t="s">
        <v>394</v>
      </c>
      <c r="I168" s="18"/>
      <c r="J168" s="17" t="s">
        <v>56</v>
      </c>
      <c r="M168" s="18"/>
      <c r="N168" s="18"/>
    </row>
    <row r="169" spans="1:15" s="17" customFormat="1" ht="28.5" hidden="1" x14ac:dyDescent="0.45">
      <c r="A169" s="17">
        <v>586</v>
      </c>
      <c r="D169" s="17" t="s">
        <v>395</v>
      </c>
      <c r="E169" s="17" t="s">
        <v>262</v>
      </c>
      <c r="H169" s="18" t="s">
        <v>396</v>
      </c>
      <c r="I169" s="18"/>
      <c r="J169" s="17" t="s">
        <v>56</v>
      </c>
      <c r="M169" s="18"/>
      <c r="N169" s="18"/>
    </row>
    <row r="170" spans="1:15" s="17" customFormat="1" ht="42.75" hidden="1" x14ac:dyDescent="0.45">
      <c r="A170" s="17">
        <v>587</v>
      </c>
      <c r="D170" s="17" t="s">
        <v>397</v>
      </c>
      <c r="E170" s="17" t="s">
        <v>262</v>
      </c>
      <c r="H170" s="18" t="s">
        <v>398</v>
      </c>
      <c r="I170" s="18"/>
      <c r="J170" s="17" t="s">
        <v>56</v>
      </c>
      <c r="M170" s="18"/>
      <c r="N170" s="18"/>
    </row>
    <row r="171" spans="1:15" s="17" customFormat="1" ht="142.5" hidden="1" x14ac:dyDescent="0.45">
      <c r="A171" s="17">
        <v>588</v>
      </c>
      <c r="D171" s="17" t="s">
        <v>399</v>
      </c>
      <c r="E171" s="17" t="s">
        <v>262</v>
      </c>
      <c r="H171" s="18" t="s">
        <v>400</v>
      </c>
      <c r="I171" s="18"/>
      <c r="J171" s="17" t="s">
        <v>56</v>
      </c>
      <c r="M171" s="18"/>
      <c r="N171" s="18"/>
    </row>
    <row r="172" spans="1:15" s="17" customFormat="1" ht="57" hidden="1" x14ac:dyDescent="0.45">
      <c r="A172" s="17">
        <v>589</v>
      </c>
      <c r="D172" s="17" t="s">
        <v>401</v>
      </c>
      <c r="E172" s="17" t="s">
        <v>262</v>
      </c>
      <c r="H172" s="18" t="s">
        <v>402</v>
      </c>
      <c r="I172" s="18"/>
      <c r="J172" s="17" t="s">
        <v>403</v>
      </c>
      <c r="L172" s="17" t="s">
        <v>107</v>
      </c>
      <c r="M172" s="23" t="s">
        <v>108</v>
      </c>
      <c r="N172" s="23"/>
      <c r="O172" s="32"/>
    </row>
    <row r="173" spans="1:15" s="17" customFormat="1" ht="28.5" hidden="1" x14ac:dyDescent="0.45">
      <c r="A173" s="17">
        <v>590</v>
      </c>
      <c r="D173" s="17" t="s">
        <v>404</v>
      </c>
      <c r="E173" s="17" t="s">
        <v>262</v>
      </c>
      <c r="H173" s="18" t="s">
        <v>405</v>
      </c>
      <c r="I173" s="18"/>
      <c r="J173" s="17" t="s">
        <v>56</v>
      </c>
      <c r="M173" s="18"/>
      <c r="N173" s="18"/>
    </row>
    <row r="174" spans="1:15" s="17" customFormat="1" ht="128.25" hidden="1" x14ac:dyDescent="0.45">
      <c r="A174" s="17">
        <v>591</v>
      </c>
      <c r="D174" s="17" t="s">
        <v>406</v>
      </c>
      <c r="E174" s="17" t="s">
        <v>262</v>
      </c>
      <c r="H174" s="18" t="s">
        <v>407</v>
      </c>
      <c r="I174" s="18"/>
      <c r="J174" s="17" t="s">
        <v>56</v>
      </c>
      <c r="L174" s="17" t="s">
        <v>210</v>
      </c>
      <c r="M174" s="23" t="s">
        <v>211</v>
      </c>
      <c r="N174" s="23"/>
      <c r="O174" s="32"/>
    </row>
    <row r="175" spans="1:15" s="17" customFormat="1" ht="28.5" hidden="1" x14ac:dyDescent="0.45">
      <c r="A175" s="17">
        <v>592</v>
      </c>
      <c r="D175" s="17" t="s">
        <v>408</v>
      </c>
      <c r="E175" s="17" t="s">
        <v>262</v>
      </c>
      <c r="H175" s="18" t="s">
        <v>409</v>
      </c>
      <c r="I175" s="18"/>
      <c r="J175" s="17" t="s">
        <v>56</v>
      </c>
      <c r="M175" s="18"/>
      <c r="N175" s="18"/>
    </row>
    <row r="176" spans="1:15" s="17" customFormat="1" ht="28.5" hidden="1" x14ac:dyDescent="0.45">
      <c r="A176" s="17">
        <v>593</v>
      </c>
      <c r="D176" s="17" t="s">
        <v>410</v>
      </c>
      <c r="E176" s="17" t="s">
        <v>262</v>
      </c>
      <c r="H176" s="18" t="s">
        <v>411</v>
      </c>
      <c r="I176" s="18"/>
      <c r="J176" s="17" t="s">
        <v>56</v>
      </c>
      <c r="M176" s="18"/>
      <c r="N176" s="18"/>
    </row>
    <row r="177" spans="1:15" s="17" customFormat="1" ht="28.5" hidden="1" x14ac:dyDescent="0.45">
      <c r="A177" s="17">
        <v>594</v>
      </c>
      <c r="D177" s="17" t="s">
        <v>412</v>
      </c>
      <c r="E177" s="17" t="s">
        <v>262</v>
      </c>
      <c r="H177" s="18" t="s">
        <v>413</v>
      </c>
      <c r="I177" s="18"/>
      <c r="J177" s="17" t="s">
        <v>56</v>
      </c>
      <c r="M177" s="18"/>
      <c r="N177" s="18"/>
    </row>
    <row r="178" spans="1:15" s="17" customFormat="1" hidden="1" x14ac:dyDescent="0.45">
      <c r="A178" s="17">
        <v>595</v>
      </c>
      <c r="D178" s="17" t="s">
        <v>414</v>
      </c>
      <c r="E178" s="17" t="s">
        <v>262</v>
      </c>
      <c r="H178" s="18" t="s">
        <v>415</v>
      </c>
      <c r="I178" s="18"/>
      <c r="J178" s="17" t="s">
        <v>56</v>
      </c>
      <c r="M178" s="18"/>
      <c r="N178" s="18"/>
    </row>
    <row r="179" spans="1:15" s="17" customFormat="1" ht="42.75" hidden="1" x14ac:dyDescent="0.45">
      <c r="A179" s="17">
        <v>596</v>
      </c>
      <c r="D179" s="17" t="s">
        <v>416</v>
      </c>
      <c r="E179" s="17" t="s">
        <v>262</v>
      </c>
      <c r="H179" s="18" t="s">
        <v>417</v>
      </c>
      <c r="I179" s="18"/>
      <c r="J179" s="17" t="s">
        <v>56</v>
      </c>
      <c r="M179" s="18"/>
      <c r="N179" s="18"/>
    </row>
    <row r="180" spans="1:15" s="17" customFormat="1" ht="42.75" hidden="1" x14ac:dyDescent="0.45">
      <c r="A180" s="17">
        <v>597</v>
      </c>
      <c r="D180" s="17" t="s">
        <v>418</v>
      </c>
      <c r="E180" s="17" t="s">
        <v>262</v>
      </c>
      <c r="H180" s="18" t="s">
        <v>419</v>
      </c>
      <c r="I180" s="18"/>
      <c r="J180" s="17" t="s">
        <v>56</v>
      </c>
      <c r="M180" s="18"/>
      <c r="N180" s="18"/>
    </row>
    <row r="181" spans="1:15" s="17" customFormat="1" ht="28.5" hidden="1" x14ac:dyDescent="0.45">
      <c r="A181" s="17">
        <v>598</v>
      </c>
      <c r="D181" s="17" t="s">
        <v>420</v>
      </c>
      <c r="E181" s="17" t="s">
        <v>262</v>
      </c>
      <c r="H181" s="18" t="s">
        <v>421</v>
      </c>
      <c r="I181" s="18"/>
      <c r="J181" s="17" t="s">
        <v>56</v>
      </c>
      <c r="M181" s="18"/>
      <c r="N181" s="18"/>
    </row>
    <row r="182" spans="1:15" s="17" customFormat="1" hidden="1" x14ac:dyDescent="0.45">
      <c r="A182" s="17">
        <v>599</v>
      </c>
      <c r="D182" s="17" t="s">
        <v>422</v>
      </c>
      <c r="E182" s="17" t="s">
        <v>262</v>
      </c>
      <c r="H182" s="18" t="s">
        <v>423</v>
      </c>
      <c r="I182" s="18"/>
      <c r="J182" s="17" t="s">
        <v>56</v>
      </c>
      <c r="M182" s="18"/>
      <c r="N182" s="18"/>
    </row>
    <row r="183" spans="1:15" s="17" customFormat="1" ht="342" hidden="1" x14ac:dyDescent="0.45">
      <c r="A183" s="17">
        <v>600</v>
      </c>
      <c r="D183" s="17" t="s">
        <v>424</v>
      </c>
      <c r="E183" s="17" t="s">
        <v>262</v>
      </c>
      <c r="H183" s="18" t="s">
        <v>425</v>
      </c>
      <c r="I183" s="18"/>
      <c r="J183" s="17" t="s">
        <v>56</v>
      </c>
      <c r="M183" s="18"/>
      <c r="N183" s="18"/>
    </row>
    <row r="184" spans="1:15" s="17" customFormat="1" ht="71.25" hidden="1" x14ac:dyDescent="0.45">
      <c r="A184" s="17">
        <v>601</v>
      </c>
      <c r="D184" s="17" t="s">
        <v>426</v>
      </c>
      <c r="E184" s="17" t="s">
        <v>262</v>
      </c>
      <c r="H184" s="18" t="s">
        <v>427</v>
      </c>
      <c r="I184" s="18"/>
      <c r="J184" s="17" t="s">
        <v>56</v>
      </c>
      <c r="M184" s="18"/>
      <c r="N184" s="18"/>
    </row>
    <row r="185" spans="1:15" s="17" customFormat="1" ht="28.5" hidden="1" x14ac:dyDescent="0.45">
      <c r="A185" s="17">
        <v>602</v>
      </c>
      <c r="D185" s="17" t="s">
        <v>428</v>
      </c>
      <c r="E185" s="17" t="s">
        <v>262</v>
      </c>
      <c r="H185" s="18" t="s">
        <v>429</v>
      </c>
      <c r="I185" s="18"/>
      <c r="J185" s="17" t="s">
        <v>56</v>
      </c>
      <c r="M185" s="18"/>
      <c r="N185" s="18"/>
    </row>
    <row r="186" spans="1:15" s="17" customFormat="1" ht="28.5" hidden="1" x14ac:dyDescent="0.45">
      <c r="A186" s="17">
        <v>603</v>
      </c>
      <c r="D186" s="17" t="s">
        <v>430</v>
      </c>
      <c r="E186" s="17" t="s">
        <v>262</v>
      </c>
      <c r="H186" s="18" t="s">
        <v>431</v>
      </c>
      <c r="I186" s="18"/>
      <c r="J186" s="17" t="s">
        <v>56</v>
      </c>
      <c r="M186" s="18"/>
      <c r="N186" s="18"/>
    </row>
    <row r="187" spans="1:15" s="17" customFormat="1" hidden="1" x14ac:dyDescent="0.45">
      <c r="A187" s="17">
        <v>604</v>
      </c>
      <c r="D187" s="17" t="s">
        <v>432</v>
      </c>
      <c r="E187" s="17" t="s">
        <v>262</v>
      </c>
      <c r="H187" s="18" t="s">
        <v>433</v>
      </c>
      <c r="I187" s="18"/>
      <c r="J187" s="17" t="s">
        <v>56</v>
      </c>
      <c r="M187" s="18"/>
      <c r="N187" s="18"/>
    </row>
    <row r="188" spans="1:15" s="17" customFormat="1" ht="28.5" hidden="1" x14ac:dyDescent="0.45">
      <c r="A188" s="17">
        <v>605</v>
      </c>
      <c r="D188" s="17" t="s">
        <v>434</v>
      </c>
      <c r="E188" s="17" t="s">
        <v>262</v>
      </c>
      <c r="H188" s="18" t="s">
        <v>435</v>
      </c>
      <c r="I188" s="18"/>
      <c r="J188" s="17" t="s">
        <v>56</v>
      </c>
      <c r="M188" s="18"/>
      <c r="N188" s="18"/>
    </row>
    <row r="189" spans="1:15" s="17" customFormat="1" ht="199.5" hidden="1" x14ac:dyDescent="0.45">
      <c r="A189" s="17">
        <v>606</v>
      </c>
      <c r="D189" s="17" t="s">
        <v>436</v>
      </c>
      <c r="E189" s="17" t="s">
        <v>262</v>
      </c>
      <c r="H189" s="18" t="s">
        <v>437</v>
      </c>
      <c r="I189" s="18"/>
      <c r="J189" s="17" t="s">
        <v>56</v>
      </c>
      <c r="M189" s="18"/>
      <c r="N189" s="18"/>
    </row>
    <row r="190" spans="1:15" s="17" customFormat="1" ht="114" hidden="1" x14ac:dyDescent="0.45">
      <c r="A190" s="17">
        <v>607</v>
      </c>
      <c r="D190" s="17" t="s">
        <v>438</v>
      </c>
      <c r="E190" s="17" t="s">
        <v>262</v>
      </c>
      <c r="H190" s="18" t="s">
        <v>439</v>
      </c>
      <c r="I190" s="18"/>
      <c r="J190" s="17" t="s">
        <v>56</v>
      </c>
      <c r="M190" s="18"/>
      <c r="N190" s="18"/>
    </row>
    <row r="191" spans="1:15" s="17" customFormat="1" hidden="1" x14ac:dyDescent="0.45">
      <c r="A191" s="17">
        <v>608</v>
      </c>
      <c r="D191" s="17" t="s">
        <v>440</v>
      </c>
      <c r="E191" s="17" t="s">
        <v>262</v>
      </c>
      <c r="H191" s="18" t="s">
        <v>441</v>
      </c>
      <c r="I191" s="18"/>
      <c r="J191" s="17" t="s">
        <v>56</v>
      </c>
      <c r="M191" s="18"/>
      <c r="N191" s="18"/>
    </row>
    <row r="192" spans="1:15" s="17" customFormat="1" ht="28.5" hidden="1" x14ac:dyDescent="0.45">
      <c r="A192" s="17">
        <v>609</v>
      </c>
      <c r="D192" s="17" t="s">
        <v>442</v>
      </c>
      <c r="E192" s="17" t="s">
        <v>262</v>
      </c>
      <c r="H192" s="18" t="s">
        <v>443</v>
      </c>
      <c r="I192" s="18"/>
      <c r="J192" s="17" t="s">
        <v>56</v>
      </c>
      <c r="L192" s="17" t="s">
        <v>210</v>
      </c>
      <c r="M192" s="23" t="s">
        <v>211</v>
      </c>
      <c r="N192" s="23"/>
      <c r="O192" s="32"/>
    </row>
    <row r="193" spans="1:15" s="17" customFormat="1" ht="28.5" hidden="1" x14ac:dyDescent="0.45">
      <c r="A193" s="17">
        <v>610</v>
      </c>
      <c r="D193" s="17" t="s">
        <v>444</v>
      </c>
      <c r="E193" s="17" t="s">
        <v>262</v>
      </c>
      <c r="H193" s="18" t="s">
        <v>445</v>
      </c>
      <c r="I193" s="18"/>
      <c r="J193" s="17" t="s">
        <v>56</v>
      </c>
      <c r="M193" s="18"/>
      <c r="N193" s="18"/>
    </row>
    <row r="194" spans="1:15" s="17" customFormat="1" hidden="1" x14ac:dyDescent="0.45">
      <c r="A194" s="17">
        <v>611</v>
      </c>
      <c r="D194" s="17" t="s">
        <v>446</v>
      </c>
      <c r="E194" s="17" t="s">
        <v>262</v>
      </c>
      <c r="H194" s="18" t="s">
        <v>447</v>
      </c>
      <c r="I194" s="18"/>
      <c r="J194" s="17" t="s">
        <v>56</v>
      </c>
      <c r="M194" s="18"/>
      <c r="N194" s="18"/>
    </row>
    <row r="195" spans="1:15" s="17" customFormat="1" ht="42.75" hidden="1" x14ac:dyDescent="0.45">
      <c r="A195" s="17">
        <v>612</v>
      </c>
      <c r="D195" s="17" t="s">
        <v>448</v>
      </c>
      <c r="E195" s="17" t="s">
        <v>262</v>
      </c>
      <c r="H195" s="18" t="s">
        <v>449</v>
      </c>
      <c r="I195" s="18"/>
      <c r="J195" s="17" t="s">
        <v>56</v>
      </c>
      <c r="M195" s="18"/>
      <c r="N195" s="18"/>
    </row>
    <row r="196" spans="1:15" s="17" customFormat="1" ht="85.5" hidden="1" x14ac:dyDescent="0.45">
      <c r="A196" s="17">
        <v>613</v>
      </c>
      <c r="D196" s="17" t="s">
        <v>450</v>
      </c>
      <c r="E196" s="17" t="s">
        <v>262</v>
      </c>
      <c r="H196" s="18" t="s">
        <v>451</v>
      </c>
      <c r="I196" s="18"/>
      <c r="J196" s="17" t="s">
        <v>56</v>
      </c>
      <c r="L196" s="17" t="s">
        <v>297</v>
      </c>
      <c r="M196" s="23" t="s">
        <v>298</v>
      </c>
      <c r="N196" s="23"/>
      <c r="O196" s="32"/>
    </row>
    <row r="197" spans="1:15" s="17" customFormat="1" ht="57" hidden="1" x14ac:dyDescent="0.45">
      <c r="A197" s="17">
        <v>614</v>
      </c>
      <c r="D197" s="17" t="s">
        <v>452</v>
      </c>
      <c r="E197" s="17" t="s">
        <v>262</v>
      </c>
      <c r="H197" s="18" t="s">
        <v>453</v>
      </c>
      <c r="I197" s="18"/>
      <c r="J197" s="17" t="s">
        <v>56</v>
      </c>
      <c r="M197" s="18"/>
      <c r="N197" s="18"/>
    </row>
    <row r="198" spans="1:15" s="17" customFormat="1" ht="128.25" hidden="1" x14ac:dyDescent="0.45">
      <c r="A198" s="17">
        <v>615</v>
      </c>
      <c r="D198" s="17" t="s">
        <v>454</v>
      </c>
      <c r="E198" s="17" t="s">
        <v>262</v>
      </c>
      <c r="H198" s="18" t="s">
        <v>455</v>
      </c>
      <c r="I198" s="18"/>
      <c r="J198" s="17" t="s">
        <v>56</v>
      </c>
      <c r="M198" s="18"/>
      <c r="N198" s="18"/>
    </row>
    <row r="199" spans="1:15" s="17" customFormat="1" ht="42.75" hidden="1" x14ac:dyDescent="0.45">
      <c r="A199" s="17">
        <v>616</v>
      </c>
      <c r="D199" s="17" t="s">
        <v>456</v>
      </c>
      <c r="E199" s="17" t="s">
        <v>262</v>
      </c>
      <c r="H199" s="18" t="s">
        <v>457</v>
      </c>
      <c r="I199" s="18"/>
      <c r="J199" s="17" t="s">
        <v>56</v>
      </c>
      <c r="M199" s="18"/>
      <c r="N199" s="18"/>
    </row>
    <row r="200" spans="1:15" s="17" customFormat="1" ht="114" hidden="1" x14ac:dyDescent="0.45">
      <c r="A200" s="17">
        <v>617</v>
      </c>
      <c r="D200" s="17" t="s">
        <v>458</v>
      </c>
      <c r="E200" s="17" t="s">
        <v>262</v>
      </c>
      <c r="H200" s="18" t="s">
        <v>459</v>
      </c>
      <c r="I200" s="18"/>
      <c r="J200" s="17" t="s">
        <v>56</v>
      </c>
      <c r="M200" s="18"/>
      <c r="N200" s="18"/>
    </row>
    <row r="201" spans="1:15" s="17" customFormat="1" ht="42.75" hidden="1" x14ac:dyDescent="0.45">
      <c r="A201" s="17">
        <v>618</v>
      </c>
      <c r="D201" s="17" t="s">
        <v>460</v>
      </c>
      <c r="E201" s="17" t="s">
        <v>262</v>
      </c>
      <c r="H201" s="18" t="s">
        <v>461</v>
      </c>
      <c r="I201" s="18"/>
      <c r="J201" s="17" t="s">
        <v>56</v>
      </c>
      <c r="M201" s="18"/>
      <c r="N201" s="18"/>
    </row>
    <row r="202" spans="1:15" s="17" customFormat="1" ht="114" hidden="1" x14ac:dyDescent="0.45">
      <c r="A202" s="17">
        <v>619</v>
      </c>
      <c r="D202" s="17" t="s">
        <v>462</v>
      </c>
      <c r="E202" s="17" t="s">
        <v>262</v>
      </c>
      <c r="H202" s="18"/>
      <c r="I202" s="18"/>
      <c r="J202" s="17" t="s">
        <v>106</v>
      </c>
      <c r="L202" s="17" t="s">
        <v>248</v>
      </c>
      <c r="M202" s="23" t="s">
        <v>249</v>
      </c>
      <c r="N202" s="23"/>
      <c r="O202" s="32"/>
    </row>
    <row r="203" spans="1:15" s="17" customFormat="1" ht="114" hidden="1" x14ac:dyDescent="0.45">
      <c r="A203" s="17">
        <v>620</v>
      </c>
      <c r="D203" s="17" t="s">
        <v>463</v>
      </c>
      <c r="E203" s="17" t="s">
        <v>262</v>
      </c>
      <c r="H203" s="18" t="s">
        <v>464</v>
      </c>
      <c r="I203" s="18"/>
      <c r="J203" s="17" t="s">
        <v>56</v>
      </c>
      <c r="L203" s="17" t="s">
        <v>465</v>
      </c>
      <c r="M203" s="23" t="s">
        <v>466</v>
      </c>
      <c r="N203" s="23"/>
      <c r="O203" s="32"/>
    </row>
    <row r="204" spans="1:15" s="17" customFormat="1" ht="57" hidden="1" x14ac:dyDescent="0.45">
      <c r="A204" s="17">
        <v>621</v>
      </c>
      <c r="D204" s="17" t="s">
        <v>467</v>
      </c>
      <c r="E204" s="17" t="s">
        <v>262</v>
      </c>
      <c r="H204" s="18" t="s">
        <v>468</v>
      </c>
      <c r="I204" s="18"/>
      <c r="J204" s="17" t="s">
        <v>56</v>
      </c>
      <c r="L204" s="17" t="s">
        <v>469</v>
      </c>
      <c r="M204" s="23" t="s">
        <v>470</v>
      </c>
      <c r="N204" s="23"/>
      <c r="O204" s="32"/>
    </row>
    <row r="205" spans="1:15" s="17" customFormat="1" ht="28.5" hidden="1" x14ac:dyDescent="0.45">
      <c r="A205" s="17">
        <v>622</v>
      </c>
      <c r="D205" s="17" t="s">
        <v>471</v>
      </c>
      <c r="E205" s="17" t="s">
        <v>262</v>
      </c>
      <c r="H205" s="18" t="s">
        <v>472</v>
      </c>
      <c r="I205" s="18"/>
      <c r="J205" s="17" t="s">
        <v>56</v>
      </c>
      <c r="M205" s="18"/>
      <c r="N205" s="18"/>
    </row>
    <row r="206" spans="1:15" s="17" customFormat="1" ht="42.75" hidden="1" x14ac:dyDescent="0.45">
      <c r="A206" s="17">
        <v>623</v>
      </c>
      <c r="D206" s="17" t="s">
        <v>473</v>
      </c>
      <c r="E206" s="17" t="s">
        <v>262</v>
      </c>
      <c r="H206" s="18" t="s">
        <v>474</v>
      </c>
      <c r="I206" s="18"/>
      <c r="J206" s="17" t="s">
        <v>56</v>
      </c>
      <c r="M206" s="18"/>
      <c r="N206" s="18"/>
    </row>
    <row r="207" spans="1:15" s="17" customFormat="1" hidden="1" x14ac:dyDescent="0.45">
      <c r="A207" s="17">
        <v>624</v>
      </c>
      <c r="D207" s="17" t="s">
        <v>475</v>
      </c>
      <c r="E207" s="17" t="s">
        <v>262</v>
      </c>
      <c r="H207" s="18" t="s">
        <v>476</v>
      </c>
      <c r="I207" s="18"/>
      <c r="J207" s="17" t="s">
        <v>56</v>
      </c>
      <c r="M207" s="18"/>
      <c r="N207" s="18"/>
    </row>
    <row r="208" spans="1:15" s="17" customFormat="1" ht="57" hidden="1" x14ac:dyDescent="0.45">
      <c r="A208" s="17">
        <v>625</v>
      </c>
      <c r="D208" s="17" t="s">
        <v>477</v>
      </c>
      <c r="E208" s="17" t="s">
        <v>262</v>
      </c>
      <c r="H208" s="18" t="s">
        <v>478</v>
      </c>
      <c r="I208" s="18"/>
      <c r="J208" s="17" t="s">
        <v>56</v>
      </c>
      <c r="M208" s="18"/>
      <c r="N208" s="18"/>
    </row>
    <row r="209" spans="1:19" s="17" customFormat="1" ht="28.5" hidden="1" x14ac:dyDescent="0.45">
      <c r="A209" s="17">
        <v>626</v>
      </c>
      <c r="D209" s="17" t="s">
        <v>479</v>
      </c>
      <c r="E209" s="17" t="s">
        <v>262</v>
      </c>
      <c r="H209" s="18" t="s">
        <v>480</v>
      </c>
      <c r="I209" s="18"/>
      <c r="J209" s="17" t="s">
        <v>56</v>
      </c>
      <c r="L209" s="17" t="s">
        <v>210</v>
      </c>
      <c r="M209" s="23" t="s">
        <v>211</v>
      </c>
      <c r="N209" s="23"/>
      <c r="O209" s="32"/>
    </row>
    <row r="210" spans="1:19" s="17" customFormat="1" ht="71.25" hidden="1" x14ac:dyDescent="0.45">
      <c r="A210" s="17">
        <v>627</v>
      </c>
      <c r="D210" s="17" t="s">
        <v>481</v>
      </c>
      <c r="E210" s="17" t="s">
        <v>262</v>
      </c>
      <c r="H210" s="18" t="s">
        <v>482</v>
      </c>
      <c r="I210" s="18"/>
      <c r="J210" s="17" t="s">
        <v>56</v>
      </c>
      <c r="L210" s="17" t="s">
        <v>210</v>
      </c>
      <c r="M210" s="23" t="s">
        <v>211</v>
      </c>
      <c r="N210" s="23"/>
      <c r="O210" s="32"/>
    </row>
    <row r="211" spans="1:19" s="17" customFormat="1" ht="28.5" hidden="1" x14ac:dyDescent="0.45">
      <c r="A211" s="17">
        <v>628</v>
      </c>
      <c r="D211" s="17" t="s">
        <v>483</v>
      </c>
      <c r="E211" s="17" t="s">
        <v>262</v>
      </c>
      <c r="H211" s="18" t="s">
        <v>484</v>
      </c>
      <c r="I211" s="18"/>
      <c r="J211" s="17" t="s">
        <v>56</v>
      </c>
      <c r="M211" s="18"/>
      <c r="N211" s="18"/>
    </row>
    <row r="212" spans="1:19" s="17" customFormat="1" ht="213.75" hidden="1" x14ac:dyDescent="0.45">
      <c r="A212" s="17">
        <v>629</v>
      </c>
      <c r="D212" s="17" t="s">
        <v>485</v>
      </c>
      <c r="E212" s="17" t="s">
        <v>262</v>
      </c>
      <c r="H212" s="18" t="s">
        <v>486</v>
      </c>
      <c r="I212" s="18"/>
      <c r="J212" s="17" t="s">
        <v>56</v>
      </c>
      <c r="M212" s="18"/>
      <c r="N212" s="18"/>
    </row>
    <row r="213" spans="1:19" s="17" customFormat="1" ht="28.5" hidden="1" x14ac:dyDescent="0.45">
      <c r="A213" s="17">
        <v>630</v>
      </c>
      <c r="D213" s="17" t="s">
        <v>487</v>
      </c>
      <c r="E213" s="17" t="s">
        <v>262</v>
      </c>
      <c r="H213" s="18" t="s">
        <v>488</v>
      </c>
      <c r="I213" s="18"/>
      <c r="J213" s="17" t="s">
        <v>56</v>
      </c>
      <c r="L213" s="17" t="s">
        <v>210</v>
      </c>
      <c r="M213" s="23" t="s">
        <v>211</v>
      </c>
      <c r="N213" s="23"/>
      <c r="O213" s="32"/>
    </row>
    <row r="214" spans="1:19" s="21" customFormat="1" ht="28.5" hidden="1" x14ac:dyDescent="0.45">
      <c r="A214" s="17">
        <v>631</v>
      </c>
      <c r="B214" s="17"/>
      <c r="C214" s="17"/>
      <c r="D214" s="17" t="s">
        <v>489</v>
      </c>
      <c r="E214" s="17" t="s">
        <v>262</v>
      </c>
      <c r="F214" s="17"/>
      <c r="G214" s="17"/>
      <c r="H214" s="18" t="s">
        <v>490</v>
      </c>
      <c r="I214" s="18"/>
      <c r="J214" s="17" t="s">
        <v>56</v>
      </c>
      <c r="K214" s="17"/>
      <c r="L214" s="17"/>
      <c r="M214" s="18"/>
      <c r="N214" s="18"/>
      <c r="O214" s="17"/>
      <c r="P214" s="17"/>
      <c r="Q214" s="17"/>
      <c r="R214" s="17"/>
      <c r="S214" s="17"/>
    </row>
    <row r="215" spans="1:19" s="17" customFormat="1" ht="114" hidden="1" x14ac:dyDescent="0.45">
      <c r="A215" s="17">
        <v>632</v>
      </c>
      <c r="D215" s="17" t="s">
        <v>491</v>
      </c>
      <c r="E215" s="17" t="s">
        <v>262</v>
      </c>
      <c r="H215" s="18" t="s">
        <v>492</v>
      </c>
      <c r="I215" s="18"/>
      <c r="J215" s="17" t="s">
        <v>56</v>
      </c>
      <c r="M215" s="18"/>
      <c r="N215" s="18"/>
    </row>
    <row r="216" spans="1:19" s="17" customFormat="1" ht="28.5" hidden="1" x14ac:dyDescent="0.45">
      <c r="A216" s="17">
        <v>633</v>
      </c>
      <c r="D216" s="17" t="s">
        <v>493</v>
      </c>
      <c r="E216" s="17" t="s">
        <v>262</v>
      </c>
      <c r="H216" s="18" t="s">
        <v>494</v>
      </c>
      <c r="I216" s="18"/>
      <c r="J216" s="17" t="s">
        <v>56</v>
      </c>
      <c r="M216" s="18"/>
      <c r="N216" s="18"/>
    </row>
    <row r="217" spans="1:19" s="17" customFormat="1" ht="28.5" hidden="1" x14ac:dyDescent="0.45">
      <c r="A217" s="17">
        <v>634</v>
      </c>
      <c r="D217" s="17" t="s">
        <v>495</v>
      </c>
      <c r="E217" s="17" t="s">
        <v>262</v>
      </c>
      <c r="H217" s="18" t="s">
        <v>496</v>
      </c>
      <c r="I217" s="18"/>
      <c r="J217" s="17" t="s">
        <v>56</v>
      </c>
      <c r="L217" s="17" t="s">
        <v>195</v>
      </c>
      <c r="M217" s="23" t="s">
        <v>196</v>
      </c>
      <c r="N217" s="23"/>
      <c r="O217" s="32"/>
    </row>
    <row r="218" spans="1:19" s="17" customFormat="1" hidden="1" x14ac:dyDescent="0.45">
      <c r="A218" s="17">
        <v>635</v>
      </c>
      <c r="D218" s="17" t="s">
        <v>497</v>
      </c>
      <c r="E218" s="17" t="s">
        <v>262</v>
      </c>
      <c r="H218" s="18" t="s">
        <v>498</v>
      </c>
      <c r="I218" s="18"/>
      <c r="J218" s="17" t="s">
        <v>56</v>
      </c>
      <c r="M218" s="18"/>
      <c r="N218" s="18"/>
    </row>
    <row r="219" spans="1:19" s="17" customFormat="1" hidden="1" x14ac:dyDescent="0.45">
      <c r="A219" s="17">
        <v>636</v>
      </c>
      <c r="D219" s="17" t="s">
        <v>499</v>
      </c>
      <c r="E219" s="17" t="s">
        <v>262</v>
      </c>
      <c r="H219" s="18" t="s">
        <v>500</v>
      </c>
      <c r="I219" s="18"/>
      <c r="J219" s="17" t="s">
        <v>56</v>
      </c>
      <c r="M219" s="18"/>
      <c r="N219" s="18"/>
    </row>
    <row r="220" spans="1:19" s="17" customFormat="1" hidden="1" x14ac:dyDescent="0.45">
      <c r="A220" s="17">
        <v>637</v>
      </c>
      <c r="D220" s="17" t="s">
        <v>501</v>
      </c>
      <c r="E220" s="17" t="s">
        <v>262</v>
      </c>
      <c r="H220" s="18" t="s">
        <v>502</v>
      </c>
      <c r="I220" s="18"/>
      <c r="J220" s="17" t="s">
        <v>56</v>
      </c>
      <c r="M220" s="18"/>
      <c r="N220" s="18"/>
    </row>
    <row r="221" spans="1:19" s="17" customFormat="1" hidden="1" x14ac:dyDescent="0.45">
      <c r="A221" s="17">
        <v>638</v>
      </c>
      <c r="D221" s="17" t="s">
        <v>503</v>
      </c>
      <c r="E221" s="17" t="s">
        <v>262</v>
      </c>
      <c r="H221" s="18" t="s">
        <v>504</v>
      </c>
      <c r="I221" s="18"/>
      <c r="J221" s="17" t="s">
        <v>56</v>
      </c>
      <c r="M221" s="18"/>
      <c r="N221" s="18"/>
    </row>
    <row r="222" spans="1:19" s="17" customFormat="1" ht="28.5" hidden="1" x14ac:dyDescent="0.45">
      <c r="A222" s="17">
        <v>639</v>
      </c>
      <c r="D222" s="17" t="s">
        <v>505</v>
      </c>
      <c r="E222" s="17" t="s">
        <v>262</v>
      </c>
      <c r="H222" s="18" t="s">
        <v>506</v>
      </c>
      <c r="I222" s="18"/>
      <c r="J222" s="17" t="s">
        <v>56</v>
      </c>
      <c r="L222" s="17" t="s">
        <v>336</v>
      </c>
      <c r="M222" s="23" t="s">
        <v>337</v>
      </c>
      <c r="N222" s="23"/>
      <c r="O222" s="32"/>
    </row>
    <row r="223" spans="1:19" s="17" customFormat="1" ht="28.5" hidden="1" x14ac:dyDescent="0.45">
      <c r="A223" s="17">
        <v>640</v>
      </c>
      <c r="D223" s="17" t="s">
        <v>507</v>
      </c>
      <c r="E223" s="17" t="s">
        <v>262</v>
      </c>
      <c r="H223" s="18" t="s">
        <v>508</v>
      </c>
      <c r="I223" s="18"/>
      <c r="J223" s="17" t="s">
        <v>56</v>
      </c>
      <c r="M223" s="18"/>
      <c r="N223" s="18"/>
    </row>
    <row r="224" spans="1:19" s="17" customFormat="1" ht="28.5" hidden="1" x14ac:dyDescent="0.45">
      <c r="A224" s="17">
        <v>641</v>
      </c>
      <c r="D224" s="17" t="s">
        <v>509</v>
      </c>
      <c r="E224" s="17" t="s">
        <v>262</v>
      </c>
      <c r="H224" s="18" t="s">
        <v>510</v>
      </c>
      <c r="I224" s="18"/>
      <c r="J224" s="17" t="s">
        <v>56</v>
      </c>
      <c r="M224" s="18"/>
      <c r="N224" s="18"/>
    </row>
    <row r="225" spans="1:19" s="17" customFormat="1" hidden="1" x14ac:dyDescent="0.45">
      <c r="A225" s="17">
        <v>642</v>
      </c>
      <c r="D225" s="17" t="s">
        <v>511</v>
      </c>
      <c r="E225" s="17" t="s">
        <v>262</v>
      </c>
      <c r="H225" s="18" t="s">
        <v>512</v>
      </c>
      <c r="I225" s="18"/>
      <c r="J225" s="17" t="s">
        <v>56</v>
      </c>
      <c r="M225" s="18"/>
      <c r="N225" s="18"/>
    </row>
    <row r="226" spans="1:19" s="17" customFormat="1" ht="114" hidden="1" x14ac:dyDescent="0.45">
      <c r="A226" s="17">
        <v>643</v>
      </c>
      <c r="D226" s="17" t="s">
        <v>513</v>
      </c>
      <c r="E226" s="17" t="s">
        <v>262</v>
      </c>
      <c r="H226" s="18" t="s">
        <v>514</v>
      </c>
      <c r="I226" s="18"/>
      <c r="J226" s="17" t="s">
        <v>56</v>
      </c>
      <c r="L226" s="17" t="s">
        <v>210</v>
      </c>
      <c r="M226" s="23" t="s">
        <v>211</v>
      </c>
      <c r="N226" s="23"/>
      <c r="O226" s="32"/>
    </row>
    <row r="227" spans="1:19" s="17" customFormat="1" hidden="1" x14ac:dyDescent="0.45">
      <c r="A227" s="17">
        <v>644</v>
      </c>
      <c r="D227" s="17" t="s">
        <v>515</v>
      </c>
      <c r="E227" s="17" t="s">
        <v>262</v>
      </c>
      <c r="H227" s="18" t="s">
        <v>516</v>
      </c>
      <c r="I227" s="18"/>
      <c r="J227" s="17" t="s">
        <v>56</v>
      </c>
      <c r="M227" s="18"/>
      <c r="N227" s="18"/>
    </row>
    <row r="228" spans="1:19" s="17" customFormat="1" ht="42.75" hidden="1" x14ac:dyDescent="0.45">
      <c r="A228" s="17">
        <v>645</v>
      </c>
      <c r="D228" s="17" t="s">
        <v>517</v>
      </c>
      <c r="E228" s="17" t="s">
        <v>262</v>
      </c>
      <c r="H228" s="18" t="s">
        <v>518</v>
      </c>
      <c r="I228" s="18"/>
      <c r="J228" s="17" t="s">
        <v>56</v>
      </c>
      <c r="M228" s="18"/>
      <c r="N228" s="18"/>
    </row>
    <row r="229" spans="1:19" s="17" customFormat="1" ht="28.5" hidden="1" x14ac:dyDescent="0.45">
      <c r="A229" s="17">
        <v>646</v>
      </c>
      <c r="D229" s="17" t="s">
        <v>519</v>
      </c>
      <c r="E229" s="17" t="s">
        <v>262</v>
      </c>
      <c r="H229" s="18" t="s">
        <v>520</v>
      </c>
      <c r="I229" s="18"/>
      <c r="J229" s="17" t="s">
        <v>56</v>
      </c>
      <c r="L229" s="17" t="s">
        <v>210</v>
      </c>
      <c r="M229" s="23" t="s">
        <v>211</v>
      </c>
      <c r="N229" s="23"/>
      <c r="O229" s="32"/>
    </row>
    <row r="230" spans="1:19" s="17" customFormat="1" hidden="1" x14ac:dyDescent="0.45">
      <c r="A230" s="17">
        <v>647</v>
      </c>
      <c r="D230" s="17" t="s">
        <v>521</v>
      </c>
      <c r="E230" s="17" t="s">
        <v>262</v>
      </c>
      <c r="H230" s="18" t="s">
        <v>522</v>
      </c>
      <c r="I230" s="18"/>
      <c r="J230" s="17" t="s">
        <v>56</v>
      </c>
      <c r="M230" s="18"/>
      <c r="N230" s="18"/>
    </row>
    <row r="231" spans="1:19" s="21" customFormat="1" hidden="1" x14ac:dyDescent="0.45">
      <c r="A231" s="17">
        <v>648</v>
      </c>
      <c r="B231" s="17"/>
      <c r="C231" s="17"/>
      <c r="D231" s="17" t="s">
        <v>523</v>
      </c>
      <c r="E231" s="17" t="s">
        <v>262</v>
      </c>
      <c r="F231" s="17"/>
      <c r="G231" s="17"/>
      <c r="H231" s="18" t="s">
        <v>524</v>
      </c>
      <c r="I231" s="18"/>
      <c r="J231" s="17" t="s">
        <v>56</v>
      </c>
      <c r="K231" s="17"/>
      <c r="L231" s="17"/>
      <c r="M231" s="18"/>
      <c r="N231" s="18"/>
      <c r="O231" s="17"/>
      <c r="P231" s="17"/>
      <c r="Q231" s="17"/>
      <c r="R231" s="17"/>
      <c r="S231" s="17"/>
    </row>
    <row r="232" spans="1:19" s="17" customFormat="1" ht="42.75" hidden="1" x14ac:dyDescent="0.45">
      <c r="A232" s="17">
        <v>649</v>
      </c>
      <c r="D232" s="17" t="s">
        <v>525</v>
      </c>
      <c r="E232" s="17" t="s">
        <v>262</v>
      </c>
      <c r="H232" s="18" t="s">
        <v>526</v>
      </c>
      <c r="I232" s="18"/>
      <c r="J232" s="17" t="s">
        <v>56</v>
      </c>
      <c r="M232" s="18"/>
      <c r="N232" s="18"/>
    </row>
    <row r="233" spans="1:19" s="17" customFormat="1" ht="57" hidden="1" x14ac:dyDescent="0.45">
      <c r="A233" s="17">
        <v>650</v>
      </c>
      <c r="D233" s="17" t="s">
        <v>527</v>
      </c>
      <c r="E233" s="17" t="s">
        <v>262</v>
      </c>
      <c r="H233" s="18" t="s">
        <v>528</v>
      </c>
      <c r="I233" s="18"/>
      <c r="J233" s="17" t="s">
        <v>141</v>
      </c>
      <c r="L233" s="17" t="s">
        <v>107</v>
      </c>
      <c r="M233" s="23" t="s">
        <v>108</v>
      </c>
      <c r="N233" s="23"/>
      <c r="O233" s="32"/>
    </row>
    <row r="234" spans="1:19" s="17" customFormat="1" ht="114" hidden="1" x14ac:dyDescent="0.45">
      <c r="A234" s="17">
        <v>651</v>
      </c>
      <c r="D234" s="17" t="s">
        <v>529</v>
      </c>
      <c r="E234" s="17" t="s">
        <v>262</v>
      </c>
      <c r="H234" s="18" t="s">
        <v>530</v>
      </c>
      <c r="I234" s="18"/>
      <c r="J234" s="17" t="s">
        <v>141</v>
      </c>
      <c r="L234" s="17" t="s">
        <v>107</v>
      </c>
      <c r="M234" s="23" t="s">
        <v>108</v>
      </c>
      <c r="N234" s="23"/>
      <c r="O234" s="32"/>
    </row>
    <row r="235" spans="1:19" s="17" customFormat="1" ht="57" hidden="1" x14ac:dyDescent="0.45">
      <c r="A235" s="17">
        <v>652</v>
      </c>
      <c r="D235" s="17" t="s">
        <v>531</v>
      </c>
      <c r="E235" s="17" t="s">
        <v>262</v>
      </c>
      <c r="H235" s="18" t="s">
        <v>532</v>
      </c>
      <c r="I235" s="18"/>
      <c r="J235" s="17" t="s">
        <v>141</v>
      </c>
      <c r="L235" s="17" t="s">
        <v>533</v>
      </c>
      <c r="M235" s="23" t="s">
        <v>534</v>
      </c>
      <c r="N235" s="23"/>
      <c r="O235" s="32"/>
    </row>
    <row r="236" spans="1:19" s="17" customFormat="1" ht="99.75" hidden="1" x14ac:dyDescent="0.45">
      <c r="A236" s="17">
        <v>653</v>
      </c>
      <c r="D236" s="17" t="s">
        <v>535</v>
      </c>
      <c r="E236" s="17" t="s">
        <v>262</v>
      </c>
      <c r="H236" s="18" t="s">
        <v>536</v>
      </c>
      <c r="I236" s="18"/>
      <c r="J236" s="17" t="s">
        <v>141</v>
      </c>
      <c r="L236" s="17" t="s">
        <v>210</v>
      </c>
      <c r="M236" s="23" t="s">
        <v>211</v>
      </c>
      <c r="N236" s="23"/>
      <c r="O236" s="32"/>
    </row>
    <row r="237" spans="1:19" s="17" customFormat="1" ht="28.5" hidden="1" x14ac:dyDescent="0.45">
      <c r="A237" s="17">
        <v>654</v>
      </c>
      <c r="D237" s="17" t="s">
        <v>537</v>
      </c>
      <c r="E237" s="17" t="s">
        <v>262</v>
      </c>
      <c r="H237" s="18" t="s">
        <v>538</v>
      </c>
      <c r="I237" s="18"/>
      <c r="J237" s="17" t="s">
        <v>141</v>
      </c>
      <c r="L237" s="17" t="s">
        <v>210</v>
      </c>
      <c r="M237" s="23" t="s">
        <v>211</v>
      </c>
      <c r="N237" s="23"/>
      <c r="O237" s="32"/>
    </row>
    <row r="238" spans="1:19" s="17" customFormat="1" ht="85.5" hidden="1" x14ac:dyDescent="0.45">
      <c r="A238" s="17">
        <v>655</v>
      </c>
      <c r="D238" s="17" t="s">
        <v>539</v>
      </c>
      <c r="E238" s="17" t="s">
        <v>262</v>
      </c>
      <c r="H238" s="18" t="s">
        <v>540</v>
      </c>
      <c r="I238" s="18"/>
      <c r="J238" s="17" t="s">
        <v>141</v>
      </c>
      <c r="L238" s="17" t="s">
        <v>210</v>
      </c>
      <c r="M238" s="23" t="s">
        <v>211</v>
      </c>
      <c r="N238" s="23"/>
      <c r="O238" s="32"/>
    </row>
    <row r="239" spans="1:19" s="17" customFormat="1" ht="71.25" hidden="1" x14ac:dyDescent="0.45">
      <c r="A239" s="17">
        <v>656</v>
      </c>
      <c r="D239" s="17" t="s">
        <v>541</v>
      </c>
      <c r="E239" s="17" t="s">
        <v>262</v>
      </c>
      <c r="H239" s="18" t="s">
        <v>542</v>
      </c>
      <c r="I239" s="18"/>
      <c r="J239" s="17" t="s">
        <v>56</v>
      </c>
      <c r="M239" s="18"/>
      <c r="N239" s="18"/>
    </row>
    <row r="240" spans="1:19" s="17" customFormat="1" ht="99.75" hidden="1" x14ac:dyDescent="0.45">
      <c r="A240" s="17">
        <v>657</v>
      </c>
      <c r="D240" s="17" t="s">
        <v>543</v>
      </c>
      <c r="E240" s="17" t="s">
        <v>262</v>
      </c>
      <c r="H240" s="18" t="s">
        <v>544</v>
      </c>
      <c r="I240" s="18"/>
      <c r="J240" s="17" t="s">
        <v>56</v>
      </c>
      <c r="M240" s="18"/>
      <c r="N240" s="18"/>
    </row>
    <row r="241" spans="1:15" s="17" customFormat="1" hidden="1" x14ac:dyDescent="0.45">
      <c r="A241" s="17">
        <v>658</v>
      </c>
      <c r="D241" s="17" t="s">
        <v>545</v>
      </c>
      <c r="E241" s="17" t="s">
        <v>262</v>
      </c>
      <c r="H241" s="18" t="s">
        <v>546</v>
      </c>
      <c r="I241" s="18"/>
      <c r="J241" s="17" t="s">
        <v>56</v>
      </c>
      <c r="M241" s="18"/>
      <c r="N241" s="18"/>
    </row>
    <row r="242" spans="1:15" s="17" customFormat="1" hidden="1" x14ac:dyDescent="0.45">
      <c r="A242" s="17">
        <v>659</v>
      </c>
      <c r="D242" s="17" t="s">
        <v>547</v>
      </c>
      <c r="E242" s="17" t="s">
        <v>262</v>
      </c>
      <c r="H242" s="18" t="s">
        <v>548</v>
      </c>
      <c r="I242" s="18"/>
      <c r="J242" s="17" t="s">
        <v>56</v>
      </c>
      <c r="M242" s="18"/>
      <c r="N242" s="18"/>
    </row>
    <row r="243" spans="1:15" s="17" customFormat="1" hidden="1" x14ac:dyDescent="0.45">
      <c r="A243" s="17">
        <v>660</v>
      </c>
      <c r="D243" s="17" t="s">
        <v>549</v>
      </c>
      <c r="E243" s="17" t="s">
        <v>262</v>
      </c>
      <c r="H243" s="18"/>
      <c r="I243" s="18"/>
      <c r="J243" s="17" t="s">
        <v>56</v>
      </c>
      <c r="M243" s="18"/>
      <c r="N243" s="18"/>
    </row>
    <row r="244" spans="1:15" s="17" customFormat="1" ht="142.5" hidden="1" x14ac:dyDescent="0.45">
      <c r="A244" s="17">
        <v>661</v>
      </c>
      <c r="D244" s="17" t="s">
        <v>550</v>
      </c>
      <c r="E244" s="17" t="s">
        <v>262</v>
      </c>
      <c r="H244" s="18" t="s">
        <v>551</v>
      </c>
      <c r="I244" s="18"/>
      <c r="J244" s="17" t="s">
        <v>552</v>
      </c>
      <c r="M244" s="18"/>
      <c r="N244" s="18"/>
    </row>
    <row r="245" spans="1:15" s="17" customFormat="1" ht="42.75" hidden="1" x14ac:dyDescent="0.45">
      <c r="A245" s="17">
        <v>662</v>
      </c>
      <c r="D245" s="17" t="s">
        <v>553</v>
      </c>
      <c r="E245" s="17" t="s">
        <v>262</v>
      </c>
      <c r="H245" s="18" t="s">
        <v>554</v>
      </c>
      <c r="I245" s="18"/>
      <c r="J245" s="17" t="s">
        <v>225</v>
      </c>
      <c r="L245" s="17" t="s">
        <v>210</v>
      </c>
      <c r="M245" s="23" t="s">
        <v>211</v>
      </c>
      <c r="N245" s="23"/>
      <c r="O245" s="32"/>
    </row>
    <row r="246" spans="1:15" s="17" customFormat="1" ht="114" hidden="1" x14ac:dyDescent="0.45">
      <c r="A246" s="17">
        <v>663</v>
      </c>
      <c r="D246" s="17" t="s">
        <v>555</v>
      </c>
      <c r="E246" s="17" t="s">
        <v>262</v>
      </c>
      <c r="H246" s="18" t="s">
        <v>556</v>
      </c>
      <c r="I246" s="18"/>
      <c r="J246" s="17" t="s">
        <v>225</v>
      </c>
      <c r="L246" s="17" t="s">
        <v>210</v>
      </c>
      <c r="M246" s="23" t="s">
        <v>211</v>
      </c>
      <c r="N246" s="23"/>
      <c r="O246" s="32"/>
    </row>
    <row r="247" spans="1:15" s="17" customFormat="1" ht="71.25" hidden="1" x14ac:dyDescent="0.45">
      <c r="A247" s="17">
        <v>664</v>
      </c>
      <c r="D247" s="17" t="s">
        <v>557</v>
      </c>
      <c r="E247" s="17" t="s">
        <v>262</v>
      </c>
      <c r="H247" s="18" t="s">
        <v>558</v>
      </c>
      <c r="I247" s="18"/>
      <c r="J247" s="17" t="s">
        <v>225</v>
      </c>
      <c r="L247" s="17" t="s">
        <v>210</v>
      </c>
      <c r="M247" s="23" t="s">
        <v>211</v>
      </c>
      <c r="N247" s="23"/>
      <c r="O247" s="32"/>
    </row>
    <row r="248" spans="1:15" s="17" customFormat="1" ht="28.5" hidden="1" x14ac:dyDescent="0.45">
      <c r="A248" s="17">
        <v>665</v>
      </c>
      <c r="D248" s="17" t="s">
        <v>559</v>
      </c>
      <c r="E248" s="17" t="s">
        <v>262</v>
      </c>
      <c r="H248" s="18" t="s">
        <v>560</v>
      </c>
      <c r="I248" s="18"/>
      <c r="J248" s="17" t="s">
        <v>225</v>
      </c>
      <c r="L248" s="17" t="s">
        <v>210</v>
      </c>
      <c r="M248" s="23" t="s">
        <v>211</v>
      </c>
      <c r="N248" s="23"/>
      <c r="O248" s="32"/>
    </row>
    <row r="249" spans="1:15" s="17" customFormat="1" ht="57" hidden="1" x14ac:dyDescent="0.45">
      <c r="A249" s="17">
        <v>666</v>
      </c>
      <c r="D249" s="17" t="s">
        <v>561</v>
      </c>
      <c r="E249" s="17" t="s">
        <v>262</v>
      </c>
      <c r="H249" s="18" t="s">
        <v>562</v>
      </c>
      <c r="I249" s="18"/>
      <c r="J249" s="17" t="s">
        <v>225</v>
      </c>
      <c r="L249" s="17" t="s">
        <v>210</v>
      </c>
      <c r="M249" s="23" t="s">
        <v>211</v>
      </c>
      <c r="N249" s="23"/>
      <c r="O249" s="32"/>
    </row>
    <row r="250" spans="1:15" s="17" customFormat="1" ht="57" hidden="1" x14ac:dyDescent="0.45">
      <c r="A250" s="17">
        <v>667</v>
      </c>
      <c r="D250" s="17" t="s">
        <v>563</v>
      </c>
      <c r="E250" s="17" t="s">
        <v>262</v>
      </c>
      <c r="H250" s="18" t="s">
        <v>564</v>
      </c>
      <c r="I250" s="18"/>
      <c r="J250" s="17" t="s">
        <v>225</v>
      </c>
      <c r="L250" s="17" t="s">
        <v>210</v>
      </c>
      <c r="M250" s="23" t="s">
        <v>108</v>
      </c>
      <c r="N250" s="23"/>
      <c r="O250" s="32"/>
    </row>
    <row r="251" spans="1:15" s="17" customFormat="1" ht="28.5" hidden="1" x14ac:dyDescent="0.45">
      <c r="A251" s="17">
        <v>668</v>
      </c>
      <c r="D251" s="17" t="s">
        <v>565</v>
      </c>
      <c r="E251" s="17" t="s">
        <v>262</v>
      </c>
      <c r="H251" s="18"/>
      <c r="I251" s="18"/>
      <c r="J251" s="17" t="s">
        <v>225</v>
      </c>
      <c r="L251" s="17" t="s">
        <v>210</v>
      </c>
      <c r="M251" s="23" t="s">
        <v>211</v>
      </c>
      <c r="N251" s="23"/>
      <c r="O251" s="32"/>
    </row>
    <row r="252" spans="1:15" s="17" customFormat="1" ht="28.5" hidden="1" x14ac:dyDescent="0.45">
      <c r="A252" s="17">
        <v>669</v>
      </c>
      <c r="D252" s="17" t="s">
        <v>566</v>
      </c>
      <c r="E252" s="17" t="s">
        <v>262</v>
      </c>
      <c r="G252" s="17" t="s">
        <v>567</v>
      </c>
      <c r="H252" s="18" t="s">
        <v>568</v>
      </c>
      <c r="I252" s="18"/>
      <c r="J252" s="17" t="s">
        <v>56</v>
      </c>
      <c r="L252" s="17" t="s">
        <v>210</v>
      </c>
      <c r="M252" s="23" t="s">
        <v>211</v>
      </c>
      <c r="N252" s="23"/>
      <c r="O252" s="32"/>
    </row>
    <row r="253" spans="1:15" s="17" customFormat="1" ht="28.5" hidden="1" x14ac:dyDescent="0.45">
      <c r="A253" s="17">
        <v>670</v>
      </c>
      <c r="D253" s="17" t="s">
        <v>569</v>
      </c>
      <c r="E253" s="17" t="s">
        <v>262</v>
      </c>
      <c r="H253" s="18" t="s">
        <v>570</v>
      </c>
      <c r="I253" s="18"/>
      <c r="J253" s="17" t="s">
        <v>56</v>
      </c>
      <c r="L253" s="17" t="s">
        <v>210</v>
      </c>
      <c r="M253" s="23" t="s">
        <v>211</v>
      </c>
      <c r="N253" s="23"/>
      <c r="O253" s="32"/>
    </row>
    <row r="254" spans="1:15" s="17" customFormat="1" ht="28.5" hidden="1" x14ac:dyDescent="0.45">
      <c r="A254" s="17">
        <v>671</v>
      </c>
      <c r="D254" s="17" t="s">
        <v>571</v>
      </c>
      <c r="E254" s="17" t="s">
        <v>262</v>
      </c>
      <c r="G254" s="17" t="s">
        <v>567</v>
      </c>
      <c r="H254" s="18" t="s">
        <v>572</v>
      </c>
      <c r="I254" s="18"/>
      <c r="J254" s="17" t="s">
        <v>56</v>
      </c>
      <c r="L254" s="17" t="s">
        <v>210</v>
      </c>
      <c r="M254" s="23" t="s">
        <v>211</v>
      </c>
      <c r="N254" s="23"/>
      <c r="O254" s="32"/>
    </row>
    <row r="255" spans="1:15" s="17" customFormat="1" ht="28.5" hidden="1" x14ac:dyDescent="0.45">
      <c r="A255" s="17">
        <v>672</v>
      </c>
      <c r="D255" s="17" t="s">
        <v>573</v>
      </c>
      <c r="E255" s="17" t="s">
        <v>262</v>
      </c>
      <c r="H255" s="18" t="s">
        <v>574</v>
      </c>
      <c r="I255" s="18"/>
      <c r="J255" s="17" t="s">
        <v>56</v>
      </c>
      <c r="L255" s="17" t="s">
        <v>210</v>
      </c>
      <c r="M255" s="23" t="s">
        <v>211</v>
      </c>
      <c r="N255" s="23"/>
      <c r="O255" s="32"/>
    </row>
    <row r="256" spans="1:15" s="17" customFormat="1" ht="28.5" hidden="1" x14ac:dyDescent="0.45">
      <c r="A256" s="17">
        <v>673</v>
      </c>
      <c r="D256" s="17" t="s">
        <v>575</v>
      </c>
      <c r="E256" s="17" t="s">
        <v>262</v>
      </c>
      <c r="H256" s="18" t="s">
        <v>576</v>
      </c>
      <c r="I256" s="18"/>
      <c r="J256" s="17" t="s">
        <v>56</v>
      </c>
      <c r="L256" s="17" t="s">
        <v>210</v>
      </c>
      <c r="M256" s="23" t="s">
        <v>211</v>
      </c>
      <c r="N256" s="23"/>
      <c r="O256" s="32"/>
    </row>
    <row r="257" spans="1:15" s="17" customFormat="1" ht="99.75" hidden="1" x14ac:dyDescent="0.45">
      <c r="A257" s="17">
        <v>674</v>
      </c>
      <c r="D257" s="17" t="s">
        <v>577</v>
      </c>
      <c r="E257" s="17" t="s">
        <v>262</v>
      </c>
      <c r="H257" s="18" t="s">
        <v>578</v>
      </c>
      <c r="I257" s="18"/>
      <c r="J257" s="17" t="s">
        <v>56</v>
      </c>
      <c r="L257" s="17" t="s">
        <v>210</v>
      </c>
      <c r="M257" s="23" t="s">
        <v>211</v>
      </c>
      <c r="N257" s="23"/>
      <c r="O257" s="32"/>
    </row>
    <row r="258" spans="1:15" s="17" customFormat="1" ht="71.25" hidden="1" x14ac:dyDescent="0.45">
      <c r="A258" s="17">
        <v>675</v>
      </c>
      <c r="D258" s="17" t="s">
        <v>579</v>
      </c>
      <c r="E258" s="17" t="s">
        <v>262</v>
      </c>
      <c r="H258" s="18" t="s">
        <v>580</v>
      </c>
      <c r="I258" s="18"/>
      <c r="J258" s="17" t="s">
        <v>56</v>
      </c>
      <c r="L258" s="17" t="s">
        <v>210</v>
      </c>
      <c r="M258" s="23" t="s">
        <v>211</v>
      </c>
      <c r="N258" s="23"/>
      <c r="O258" s="32"/>
    </row>
    <row r="259" spans="1:15" s="17" customFormat="1" ht="28.5" hidden="1" x14ac:dyDescent="0.45">
      <c r="A259" s="17">
        <v>676</v>
      </c>
      <c r="D259" s="17" t="s">
        <v>581</v>
      </c>
      <c r="E259" s="17" t="s">
        <v>262</v>
      </c>
      <c r="H259" s="18" t="s">
        <v>582</v>
      </c>
      <c r="I259" s="18"/>
      <c r="J259" s="17" t="s">
        <v>56</v>
      </c>
      <c r="L259" s="17" t="s">
        <v>210</v>
      </c>
      <c r="M259" s="23" t="s">
        <v>211</v>
      </c>
      <c r="N259" s="23"/>
      <c r="O259" s="32"/>
    </row>
    <row r="260" spans="1:15" s="17" customFormat="1" ht="28.5" hidden="1" x14ac:dyDescent="0.45">
      <c r="A260" s="17">
        <v>677</v>
      </c>
      <c r="D260" s="17" t="s">
        <v>583</v>
      </c>
      <c r="E260" s="17" t="s">
        <v>262</v>
      </c>
      <c r="H260" s="18" t="s">
        <v>584</v>
      </c>
      <c r="I260" s="18"/>
      <c r="J260" s="17" t="s">
        <v>56</v>
      </c>
      <c r="L260" s="17" t="s">
        <v>210</v>
      </c>
      <c r="M260" s="23" t="s">
        <v>211</v>
      </c>
      <c r="N260" s="23"/>
      <c r="O260" s="32"/>
    </row>
    <row r="261" spans="1:15" s="17" customFormat="1" ht="28.5" hidden="1" x14ac:dyDescent="0.45">
      <c r="A261" s="17">
        <v>678</v>
      </c>
      <c r="D261" s="17" t="s">
        <v>585</v>
      </c>
      <c r="E261" s="17" t="s">
        <v>262</v>
      </c>
      <c r="H261" s="18" t="s">
        <v>586</v>
      </c>
      <c r="I261" s="18"/>
      <c r="J261" s="17" t="s">
        <v>56</v>
      </c>
      <c r="L261" s="17" t="s">
        <v>210</v>
      </c>
      <c r="M261" s="23" t="s">
        <v>211</v>
      </c>
      <c r="N261" s="23"/>
      <c r="O261" s="32"/>
    </row>
    <row r="262" spans="1:15" s="17" customFormat="1" ht="71.25" hidden="1" x14ac:dyDescent="0.45">
      <c r="A262" s="17">
        <v>679</v>
      </c>
      <c r="D262" s="17" t="s">
        <v>587</v>
      </c>
      <c r="E262" s="17" t="s">
        <v>262</v>
      </c>
      <c r="H262" s="18" t="s">
        <v>588</v>
      </c>
      <c r="I262" s="18"/>
      <c r="J262" s="17" t="s">
        <v>56</v>
      </c>
      <c r="L262" s="17" t="s">
        <v>210</v>
      </c>
      <c r="M262" s="23" t="s">
        <v>211</v>
      </c>
      <c r="N262" s="23"/>
      <c r="O262" s="32"/>
    </row>
    <row r="263" spans="1:15" s="17" customFormat="1" ht="28.5" hidden="1" x14ac:dyDescent="0.45">
      <c r="A263" s="17">
        <v>680</v>
      </c>
      <c r="D263" s="17" t="s">
        <v>589</v>
      </c>
      <c r="E263" s="17" t="s">
        <v>262</v>
      </c>
      <c r="H263" s="18" t="s">
        <v>590</v>
      </c>
      <c r="I263" s="18"/>
      <c r="J263" s="17" t="s">
        <v>56</v>
      </c>
      <c r="L263" s="17" t="s">
        <v>210</v>
      </c>
      <c r="M263" s="23" t="s">
        <v>211</v>
      </c>
      <c r="N263" s="23"/>
      <c r="O263" s="32"/>
    </row>
    <row r="264" spans="1:15" s="17" customFormat="1" ht="242.25" hidden="1" x14ac:dyDescent="0.45">
      <c r="A264" s="17">
        <v>681</v>
      </c>
      <c r="D264" s="17" t="s">
        <v>591</v>
      </c>
      <c r="E264" s="17" t="s">
        <v>262</v>
      </c>
      <c r="H264" s="18" t="s">
        <v>592</v>
      </c>
      <c r="I264" s="18"/>
      <c r="J264" s="17" t="s">
        <v>56</v>
      </c>
      <c r="L264" s="17" t="s">
        <v>210</v>
      </c>
      <c r="M264" s="23" t="s">
        <v>211</v>
      </c>
      <c r="N264" s="23"/>
      <c r="O264" s="32"/>
    </row>
    <row r="265" spans="1:15" s="17" customFormat="1" ht="28.5" hidden="1" x14ac:dyDescent="0.45">
      <c r="A265" s="17">
        <v>682</v>
      </c>
      <c r="D265" s="17" t="s">
        <v>593</v>
      </c>
      <c r="E265" s="17" t="s">
        <v>262</v>
      </c>
      <c r="H265" s="18" t="s">
        <v>594</v>
      </c>
      <c r="I265" s="18"/>
      <c r="J265" s="17" t="s">
        <v>56</v>
      </c>
      <c r="L265" s="17" t="s">
        <v>210</v>
      </c>
      <c r="M265" s="23" t="s">
        <v>211</v>
      </c>
      <c r="N265" s="23"/>
      <c r="O265" s="32"/>
    </row>
    <row r="266" spans="1:15" s="17" customFormat="1" ht="28.5" hidden="1" x14ac:dyDescent="0.45">
      <c r="A266" s="17">
        <v>683</v>
      </c>
      <c r="D266" s="17" t="s">
        <v>595</v>
      </c>
      <c r="E266" s="17" t="s">
        <v>262</v>
      </c>
      <c r="H266" s="18" t="s">
        <v>596</v>
      </c>
      <c r="I266" s="18"/>
      <c r="J266" s="17" t="s">
        <v>56</v>
      </c>
      <c r="L266" s="17" t="s">
        <v>210</v>
      </c>
      <c r="M266" s="23" t="s">
        <v>211</v>
      </c>
      <c r="N266" s="23"/>
      <c r="O266" s="32"/>
    </row>
    <row r="267" spans="1:15" s="17" customFormat="1" ht="28.5" hidden="1" x14ac:dyDescent="0.45">
      <c r="A267" s="17">
        <v>684</v>
      </c>
      <c r="D267" s="17" t="s">
        <v>597</v>
      </c>
      <c r="E267" s="17" t="s">
        <v>262</v>
      </c>
      <c r="H267" s="18" t="s">
        <v>598</v>
      </c>
      <c r="I267" s="18"/>
      <c r="J267" s="17" t="s">
        <v>56</v>
      </c>
      <c r="L267" s="17" t="s">
        <v>210</v>
      </c>
      <c r="M267" s="23" t="s">
        <v>211</v>
      </c>
      <c r="N267" s="23"/>
      <c r="O267" s="32"/>
    </row>
    <row r="268" spans="1:15" s="17" customFormat="1" ht="28.5" hidden="1" x14ac:dyDescent="0.45">
      <c r="A268" s="17">
        <v>685</v>
      </c>
      <c r="D268" s="17" t="s">
        <v>599</v>
      </c>
      <c r="E268" s="17" t="s">
        <v>262</v>
      </c>
      <c r="H268" s="18" t="s">
        <v>600</v>
      </c>
      <c r="I268" s="18"/>
      <c r="J268" s="17" t="s">
        <v>56</v>
      </c>
      <c r="L268" s="17" t="s">
        <v>210</v>
      </c>
      <c r="M268" s="23" t="s">
        <v>211</v>
      </c>
      <c r="N268" s="23"/>
      <c r="O268" s="32"/>
    </row>
    <row r="269" spans="1:15" s="17" customFormat="1" ht="28.5" hidden="1" x14ac:dyDescent="0.45">
      <c r="A269" s="17">
        <v>1</v>
      </c>
      <c r="D269" s="17" t="s">
        <v>601</v>
      </c>
      <c r="E269" s="17" t="s">
        <v>602</v>
      </c>
      <c r="H269" s="18" t="s">
        <v>603</v>
      </c>
      <c r="I269" s="18"/>
      <c r="J269" s="17" t="s">
        <v>56</v>
      </c>
      <c r="M269" s="18"/>
      <c r="N269" s="18"/>
    </row>
    <row r="270" spans="1:15" s="17" customFormat="1" hidden="1" x14ac:dyDescent="0.45">
      <c r="A270" s="17">
        <v>705</v>
      </c>
      <c r="D270" s="17" t="s">
        <v>604</v>
      </c>
      <c r="E270" s="17" t="s">
        <v>605</v>
      </c>
      <c r="H270" s="18"/>
      <c r="I270" s="18"/>
      <c r="J270" s="17" t="s">
        <v>56</v>
      </c>
      <c r="M270" s="18"/>
      <c r="N270" s="18"/>
    </row>
    <row r="271" spans="1:15" s="17" customFormat="1" hidden="1" x14ac:dyDescent="0.45">
      <c r="A271" s="17">
        <v>706</v>
      </c>
      <c r="D271" s="17" t="s">
        <v>605</v>
      </c>
      <c r="E271" s="17" t="s">
        <v>605</v>
      </c>
      <c r="H271" s="18"/>
      <c r="I271" s="18"/>
      <c r="J271" s="17" t="s">
        <v>56</v>
      </c>
      <c r="M271" s="18"/>
      <c r="N271" s="18"/>
    </row>
    <row r="272" spans="1:15" s="17" customFormat="1" hidden="1" x14ac:dyDescent="0.45">
      <c r="A272" s="17">
        <v>707</v>
      </c>
      <c r="D272" s="17" t="s">
        <v>605</v>
      </c>
      <c r="E272" s="17" t="s">
        <v>605</v>
      </c>
      <c r="H272" s="18"/>
      <c r="I272" s="18"/>
      <c r="J272" s="17" t="s">
        <v>56</v>
      </c>
      <c r="M272" s="18"/>
      <c r="N272" s="18"/>
    </row>
    <row r="273" spans="1:15" s="17" customFormat="1" ht="28.5" hidden="1" x14ac:dyDescent="0.45">
      <c r="A273" s="17">
        <v>708</v>
      </c>
      <c r="D273" s="17" t="s">
        <v>606</v>
      </c>
      <c r="E273" s="17" t="s">
        <v>605</v>
      </c>
      <c r="H273" s="18"/>
      <c r="I273" s="18"/>
      <c r="J273" s="17" t="s">
        <v>56</v>
      </c>
      <c r="L273" s="17" t="s">
        <v>606</v>
      </c>
      <c r="M273" s="23" t="s">
        <v>607</v>
      </c>
      <c r="N273" s="23"/>
      <c r="O273" s="32"/>
    </row>
    <row r="274" spans="1:15" s="17" customFormat="1" hidden="1" x14ac:dyDescent="0.45">
      <c r="A274" s="17">
        <v>709</v>
      </c>
      <c r="D274" s="17" t="s">
        <v>119</v>
      </c>
      <c r="E274" s="17" t="s">
        <v>605</v>
      </c>
      <c r="H274" s="18"/>
      <c r="I274" s="18"/>
      <c r="J274" s="17" t="s">
        <v>56</v>
      </c>
      <c r="M274" s="18"/>
      <c r="N274" s="18"/>
    </row>
    <row r="275" spans="1:15" s="17" customFormat="1" ht="28.5" hidden="1" x14ac:dyDescent="0.45">
      <c r="A275" s="17">
        <v>710</v>
      </c>
      <c r="D275" s="17" t="s">
        <v>608</v>
      </c>
      <c r="E275" s="17" t="s">
        <v>605</v>
      </c>
      <c r="H275" s="18"/>
      <c r="I275" s="18"/>
      <c r="J275" s="17" t="s">
        <v>56</v>
      </c>
      <c r="L275" s="17" t="s">
        <v>608</v>
      </c>
      <c r="M275" s="23" t="s">
        <v>609</v>
      </c>
      <c r="N275" s="23"/>
      <c r="O275" s="32"/>
    </row>
    <row r="276" spans="1:15" s="17" customFormat="1" ht="114" hidden="1" x14ac:dyDescent="0.45">
      <c r="A276" s="17">
        <v>711</v>
      </c>
      <c r="D276" s="17" t="s">
        <v>84</v>
      </c>
      <c r="E276" s="17" t="s">
        <v>605</v>
      </c>
      <c r="H276" s="18"/>
      <c r="I276" s="18"/>
      <c r="J276" s="17" t="s">
        <v>56</v>
      </c>
      <c r="L276" s="17" t="s">
        <v>610</v>
      </c>
      <c r="M276" s="23" t="s">
        <v>611</v>
      </c>
      <c r="N276" s="23"/>
      <c r="O276" s="32"/>
    </row>
    <row r="277" spans="1:15" s="17" customFormat="1" ht="142.5" hidden="1" x14ac:dyDescent="0.45">
      <c r="A277" s="17">
        <v>712</v>
      </c>
      <c r="D277" s="17" t="s">
        <v>612</v>
      </c>
      <c r="E277" s="17" t="s">
        <v>605</v>
      </c>
      <c r="H277" s="18"/>
      <c r="I277" s="18"/>
      <c r="J277" s="17" t="s">
        <v>56</v>
      </c>
      <c r="L277" s="17" t="s">
        <v>613</v>
      </c>
      <c r="M277" s="23" t="s">
        <v>614</v>
      </c>
      <c r="N277" s="23"/>
      <c r="O277" s="32"/>
    </row>
    <row r="278" spans="1:15" s="17" customFormat="1" hidden="1" x14ac:dyDescent="0.45">
      <c r="A278" s="17">
        <v>713</v>
      </c>
      <c r="D278" s="17" t="s">
        <v>371</v>
      </c>
      <c r="E278" s="17" t="s">
        <v>605</v>
      </c>
      <c r="H278" s="18"/>
      <c r="I278" s="18"/>
      <c r="J278" s="17" t="s">
        <v>56</v>
      </c>
      <c r="M278" s="18"/>
      <c r="N278" s="18"/>
    </row>
    <row r="279" spans="1:15" s="17" customFormat="1" ht="28.5" hidden="1" x14ac:dyDescent="0.45">
      <c r="A279" s="17">
        <v>714</v>
      </c>
      <c r="D279" s="17" t="s">
        <v>615</v>
      </c>
      <c r="E279" s="17" t="s">
        <v>605</v>
      </c>
      <c r="H279" s="18"/>
      <c r="I279" s="18"/>
      <c r="J279" s="17" t="s">
        <v>56</v>
      </c>
      <c r="L279" s="17" t="s">
        <v>616</v>
      </c>
      <c r="M279" s="23" t="s">
        <v>617</v>
      </c>
      <c r="N279" s="23"/>
      <c r="O279" s="32"/>
    </row>
    <row r="280" spans="1:15" s="17" customFormat="1" ht="114" hidden="1" x14ac:dyDescent="0.45">
      <c r="A280" s="17">
        <v>715</v>
      </c>
      <c r="D280" s="17" t="s">
        <v>618</v>
      </c>
      <c r="E280" s="17" t="s">
        <v>605</v>
      </c>
      <c r="H280" s="18"/>
      <c r="I280" s="18"/>
      <c r="J280" s="17" t="s">
        <v>56</v>
      </c>
      <c r="L280" s="17" t="s">
        <v>619</v>
      </c>
      <c r="M280" s="23" t="s">
        <v>620</v>
      </c>
      <c r="N280" s="23"/>
      <c r="O280" s="32"/>
    </row>
    <row r="281" spans="1:15" s="17" customFormat="1" ht="142.5" hidden="1" x14ac:dyDescent="0.45">
      <c r="A281" s="17">
        <v>716</v>
      </c>
      <c r="D281" s="17" t="s">
        <v>621</v>
      </c>
      <c r="E281" s="17" t="s">
        <v>605</v>
      </c>
      <c r="H281" s="18"/>
      <c r="I281" s="18"/>
      <c r="J281" s="17" t="s">
        <v>56</v>
      </c>
      <c r="L281" s="17" t="s">
        <v>622</v>
      </c>
      <c r="M281" s="23" t="s">
        <v>623</v>
      </c>
      <c r="N281" s="23"/>
      <c r="O281" s="32"/>
    </row>
    <row r="282" spans="1:15" s="17" customFormat="1" ht="71.25" hidden="1" x14ac:dyDescent="0.45">
      <c r="A282" s="17">
        <v>717</v>
      </c>
      <c r="D282" s="17" t="s">
        <v>624</v>
      </c>
      <c r="E282" s="17" t="s">
        <v>605</v>
      </c>
      <c r="H282" s="18" t="s">
        <v>625</v>
      </c>
      <c r="I282" s="18"/>
      <c r="J282" s="17" t="s">
        <v>56</v>
      </c>
      <c r="M282" s="18"/>
      <c r="N282" s="18"/>
    </row>
    <row r="283" spans="1:15" s="17" customFormat="1" hidden="1" x14ac:dyDescent="0.45">
      <c r="A283" s="17">
        <v>718</v>
      </c>
      <c r="D283" s="17" t="s">
        <v>626</v>
      </c>
      <c r="E283" s="17" t="s">
        <v>605</v>
      </c>
      <c r="H283" s="18"/>
      <c r="I283" s="18"/>
      <c r="J283" s="17" t="s">
        <v>56</v>
      </c>
      <c r="M283" s="18"/>
      <c r="N283" s="18"/>
    </row>
    <row r="284" spans="1:15" s="17" customFormat="1" hidden="1" x14ac:dyDescent="0.45">
      <c r="A284" s="17">
        <v>719</v>
      </c>
      <c r="D284" s="17" t="s">
        <v>107</v>
      </c>
      <c r="E284" s="17" t="s">
        <v>605</v>
      </c>
      <c r="H284" s="18"/>
      <c r="I284" s="18"/>
      <c r="J284" s="17" t="s">
        <v>56</v>
      </c>
      <c r="M284" s="18"/>
      <c r="N284" s="18"/>
    </row>
    <row r="285" spans="1:15" s="17" customFormat="1" ht="28.5" hidden="1" x14ac:dyDescent="0.45">
      <c r="A285" s="17">
        <v>720</v>
      </c>
      <c r="D285" s="17" t="s">
        <v>195</v>
      </c>
      <c r="E285" s="17" t="s">
        <v>605</v>
      </c>
      <c r="H285" s="18"/>
      <c r="I285" s="18"/>
      <c r="J285" s="17" t="s">
        <v>56</v>
      </c>
      <c r="L285" s="17" t="s">
        <v>195</v>
      </c>
      <c r="M285" s="23" t="s">
        <v>196</v>
      </c>
      <c r="N285" s="23"/>
      <c r="O285" s="32"/>
    </row>
    <row r="286" spans="1:15" s="17" customFormat="1" ht="114" hidden="1" x14ac:dyDescent="0.45">
      <c r="A286" s="17">
        <v>721</v>
      </c>
      <c r="D286" s="17" t="s">
        <v>627</v>
      </c>
      <c r="E286" s="17" t="s">
        <v>605</v>
      </c>
      <c r="H286" s="18"/>
      <c r="I286" s="18"/>
      <c r="J286" s="17" t="s">
        <v>56</v>
      </c>
      <c r="L286" s="17" t="s">
        <v>465</v>
      </c>
      <c r="M286" s="23" t="s">
        <v>466</v>
      </c>
      <c r="N286" s="23"/>
      <c r="O286" s="32"/>
    </row>
    <row r="287" spans="1:15" s="17" customFormat="1" ht="142.5" hidden="1" x14ac:dyDescent="0.45">
      <c r="A287" s="17">
        <v>722</v>
      </c>
      <c r="D287" s="17" t="s">
        <v>628</v>
      </c>
      <c r="E287" s="17" t="s">
        <v>605</v>
      </c>
      <c r="H287" s="18"/>
      <c r="I287" s="18"/>
      <c r="J287" s="17" t="s">
        <v>56</v>
      </c>
      <c r="L287" s="17" t="s">
        <v>629</v>
      </c>
      <c r="M287" s="23" t="s">
        <v>630</v>
      </c>
      <c r="N287" s="23"/>
      <c r="O287" s="32"/>
    </row>
    <row r="288" spans="1:15" s="17" customFormat="1" ht="28.5" hidden="1" x14ac:dyDescent="0.45">
      <c r="A288" s="17">
        <v>723</v>
      </c>
      <c r="D288" s="17" t="s">
        <v>336</v>
      </c>
      <c r="E288" s="17" t="s">
        <v>605</v>
      </c>
      <c r="H288" s="18"/>
      <c r="I288" s="18"/>
      <c r="J288" s="17" t="s">
        <v>56</v>
      </c>
      <c r="L288" s="17" t="s">
        <v>336</v>
      </c>
      <c r="M288" s="23" t="s">
        <v>337</v>
      </c>
      <c r="N288" s="23"/>
      <c r="O288" s="32"/>
    </row>
    <row r="289" spans="1:19" s="17" customFormat="1" ht="28.5" hidden="1" x14ac:dyDescent="0.45">
      <c r="A289" s="17">
        <v>724</v>
      </c>
      <c r="D289" s="17" t="s">
        <v>631</v>
      </c>
      <c r="E289" s="17" t="s">
        <v>605</v>
      </c>
      <c r="H289" s="18" t="s">
        <v>632</v>
      </c>
      <c r="I289" s="18"/>
      <c r="J289" s="17" t="s">
        <v>56</v>
      </c>
      <c r="L289" s="17" t="s">
        <v>616</v>
      </c>
      <c r="M289" s="23" t="s">
        <v>617</v>
      </c>
      <c r="N289" s="23"/>
      <c r="O289" s="32"/>
    </row>
    <row r="290" spans="1:19" s="17" customFormat="1" ht="114" hidden="1" x14ac:dyDescent="0.45">
      <c r="A290" s="17">
        <v>725</v>
      </c>
      <c r="D290" s="17" t="s">
        <v>633</v>
      </c>
      <c r="E290" s="17" t="s">
        <v>605</v>
      </c>
      <c r="H290" s="18" t="s">
        <v>634</v>
      </c>
      <c r="I290" s="18"/>
      <c r="J290" s="17" t="s">
        <v>56</v>
      </c>
      <c r="L290" s="17" t="s">
        <v>619</v>
      </c>
      <c r="M290" s="23" t="s">
        <v>620</v>
      </c>
      <c r="N290" s="23"/>
      <c r="O290" s="32"/>
    </row>
    <row r="291" spans="1:19" s="17" customFormat="1" ht="142.5" hidden="1" x14ac:dyDescent="0.45">
      <c r="A291" s="17">
        <v>726</v>
      </c>
      <c r="D291" s="17" t="s">
        <v>635</v>
      </c>
      <c r="E291" s="17" t="s">
        <v>605</v>
      </c>
      <c r="H291" s="18" t="s">
        <v>636</v>
      </c>
      <c r="I291" s="18"/>
      <c r="J291" s="17" t="s">
        <v>56</v>
      </c>
      <c r="L291" s="17" t="s">
        <v>622</v>
      </c>
      <c r="M291" s="23" t="s">
        <v>623</v>
      </c>
      <c r="N291" s="23"/>
      <c r="O291" s="32"/>
    </row>
    <row r="292" spans="1:19" s="17" customFormat="1" ht="71.25" hidden="1" x14ac:dyDescent="0.45">
      <c r="A292" s="17">
        <v>2</v>
      </c>
      <c r="D292" s="17" t="s">
        <v>637</v>
      </c>
      <c r="E292" s="17" t="s">
        <v>638</v>
      </c>
      <c r="H292" s="18" t="s">
        <v>639</v>
      </c>
      <c r="I292" s="18"/>
      <c r="J292" s="17" t="s">
        <v>311</v>
      </c>
      <c r="M292" s="18"/>
      <c r="N292" s="18"/>
    </row>
    <row r="293" spans="1:19" s="17" customFormat="1" ht="256.5" hidden="1" x14ac:dyDescent="0.45">
      <c r="A293" s="17">
        <v>3</v>
      </c>
      <c r="D293" s="17" t="s">
        <v>640</v>
      </c>
      <c r="E293" s="17" t="s">
        <v>638</v>
      </c>
      <c r="H293" s="18" t="s">
        <v>641</v>
      </c>
      <c r="I293" s="18"/>
      <c r="J293" s="17" t="s">
        <v>56</v>
      </c>
      <c r="M293" s="18"/>
      <c r="N293" s="18"/>
    </row>
    <row r="294" spans="1:19" s="17" customFormat="1" ht="213.75" hidden="1" x14ac:dyDescent="0.45">
      <c r="A294" s="17">
        <v>4</v>
      </c>
      <c r="D294" s="17" t="s">
        <v>642</v>
      </c>
      <c r="E294" s="17" t="s">
        <v>638</v>
      </c>
      <c r="H294" s="18" t="s">
        <v>643</v>
      </c>
      <c r="I294" s="18"/>
      <c r="J294" s="17" t="s">
        <v>56</v>
      </c>
      <c r="M294" s="18"/>
      <c r="N294" s="18"/>
    </row>
    <row r="295" spans="1:19" s="17" customFormat="1" ht="242.25" hidden="1" x14ac:dyDescent="0.45">
      <c r="A295" s="17">
        <v>5</v>
      </c>
      <c r="D295" s="17" t="s">
        <v>644</v>
      </c>
      <c r="E295" s="17" t="s">
        <v>638</v>
      </c>
      <c r="H295" s="18" t="s">
        <v>645</v>
      </c>
      <c r="I295" s="18"/>
      <c r="J295" s="17" t="s">
        <v>56</v>
      </c>
      <c r="M295" s="18"/>
      <c r="N295" s="18"/>
    </row>
    <row r="296" spans="1:19" s="17" customFormat="1" ht="71.25" hidden="1" x14ac:dyDescent="0.45">
      <c r="A296" s="17">
        <v>6</v>
      </c>
      <c r="D296" s="17" t="s">
        <v>646</v>
      </c>
      <c r="E296" s="17" t="s">
        <v>638</v>
      </c>
      <c r="H296" s="18" t="s">
        <v>647</v>
      </c>
      <c r="I296" s="18"/>
      <c r="J296" s="17" t="s">
        <v>56</v>
      </c>
      <c r="M296" s="18"/>
      <c r="N296" s="18"/>
    </row>
    <row r="297" spans="1:19" s="17" customFormat="1" ht="228" hidden="1" x14ac:dyDescent="0.45">
      <c r="A297" s="17">
        <v>7</v>
      </c>
      <c r="D297" s="17" t="s">
        <v>648</v>
      </c>
      <c r="E297" s="17" t="s">
        <v>638</v>
      </c>
      <c r="H297" s="18" t="s">
        <v>649</v>
      </c>
      <c r="I297" s="18"/>
      <c r="J297" s="17" t="s">
        <v>56</v>
      </c>
      <c r="M297" s="18"/>
      <c r="N297" s="18"/>
    </row>
    <row r="298" spans="1:19" s="17" customFormat="1" ht="71.25" hidden="1" x14ac:dyDescent="0.45">
      <c r="A298" s="17">
        <v>8</v>
      </c>
      <c r="D298" s="17" t="s">
        <v>650</v>
      </c>
      <c r="E298" s="17" t="s">
        <v>638</v>
      </c>
      <c r="H298" s="18" t="s">
        <v>651</v>
      </c>
      <c r="I298" s="18"/>
      <c r="J298" s="17" t="s">
        <v>56</v>
      </c>
      <c r="M298" s="18"/>
      <c r="N298" s="18"/>
    </row>
    <row r="299" spans="1:19" s="17" customFormat="1" ht="85.5" hidden="1" x14ac:dyDescent="0.45">
      <c r="A299" s="17">
        <v>9</v>
      </c>
      <c r="B299" s="17" t="s">
        <v>652</v>
      </c>
      <c r="C299" s="17" t="s">
        <v>652</v>
      </c>
      <c r="D299" s="17" t="s">
        <v>653</v>
      </c>
      <c r="E299" s="17" t="s">
        <v>654</v>
      </c>
      <c r="F299" s="17" t="s">
        <v>655</v>
      </c>
      <c r="G299" s="17" t="s">
        <v>656</v>
      </c>
      <c r="H299" s="18" t="s">
        <v>657</v>
      </c>
      <c r="I299" s="18"/>
      <c r="K299" s="18" t="s">
        <v>658</v>
      </c>
      <c r="L299" s="18" t="s">
        <v>659</v>
      </c>
      <c r="M299" s="18"/>
      <c r="N299" s="18"/>
      <c r="O299" s="17" t="s">
        <v>660</v>
      </c>
      <c r="P299" s="18" t="s">
        <v>661</v>
      </c>
      <c r="Q299" s="18"/>
      <c r="S299" s="18" t="s">
        <v>662</v>
      </c>
    </row>
    <row r="300" spans="1:19" s="17" customFormat="1" ht="226.5" customHeight="1" x14ac:dyDescent="0.45">
      <c r="A300" s="17">
        <v>11</v>
      </c>
      <c r="B300" s="17" t="s">
        <v>660</v>
      </c>
      <c r="C300" s="17" t="s">
        <v>660</v>
      </c>
      <c r="D300" s="17" t="s">
        <v>671</v>
      </c>
      <c r="E300" s="17" t="s">
        <v>654</v>
      </c>
      <c r="H300" s="18" t="s">
        <v>672</v>
      </c>
      <c r="I300" s="18"/>
      <c r="J300" s="17" t="s">
        <v>673</v>
      </c>
      <c r="K300" s="18"/>
      <c r="L300" s="18" t="s">
        <v>674</v>
      </c>
      <c r="M300" s="36" t="s">
        <v>675</v>
      </c>
      <c r="N300" s="36"/>
      <c r="O300" s="39"/>
      <c r="P300" s="18"/>
      <c r="Q300" s="18" t="s">
        <v>676</v>
      </c>
      <c r="S300" s="18" t="s">
        <v>677</v>
      </c>
    </row>
    <row r="301" spans="1:19" s="17" customFormat="1" ht="99.75" x14ac:dyDescent="0.45">
      <c r="A301" s="17">
        <v>12</v>
      </c>
      <c r="B301" s="17" t="s">
        <v>660</v>
      </c>
      <c r="C301" s="17" t="s">
        <v>660</v>
      </c>
      <c r="D301" s="17" t="s">
        <v>678</v>
      </c>
      <c r="E301" s="17" t="s">
        <v>654</v>
      </c>
      <c r="H301" s="18" t="s">
        <v>679</v>
      </c>
      <c r="I301" s="18"/>
      <c r="J301" s="17" t="s">
        <v>56</v>
      </c>
      <c r="K301" s="18"/>
      <c r="L301" s="18" t="s">
        <v>680</v>
      </c>
      <c r="M301" s="36" t="s">
        <v>681</v>
      </c>
      <c r="N301" s="36"/>
      <c r="O301" s="39"/>
      <c r="P301" s="18"/>
      <c r="Q301" s="18" t="s">
        <v>682</v>
      </c>
      <c r="S301" s="18" t="s">
        <v>683</v>
      </c>
    </row>
    <row r="302" spans="1:19" s="17" customFormat="1" ht="199.5" x14ac:dyDescent="0.45">
      <c r="A302" s="17">
        <v>14</v>
      </c>
      <c r="B302" s="17" t="s">
        <v>660</v>
      </c>
      <c r="C302" s="17" t="s">
        <v>660</v>
      </c>
      <c r="D302" s="17" t="s">
        <v>689</v>
      </c>
      <c r="E302" s="17" t="s">
        <v>654</v>
      </c>
      <c r="H302" s="18" t="s">
        <v>690</v>
      </c>
      <c r="I302" s="18"/>
      <c r="J302" s="17" t="s">
        <v>691</v>
      </c>
      <c r="K302" s="18"/>
      <c r="L302" s="18" t="s">
        <v>616</v>
      </c>
      <c r="M302" s="36" t="s">
        <v>617</v>
      </c>
      <c r="N302" s="36"/>
      <c r="O302" s="39"/>
      <c r="P302" s="18"/>
      <c r="Q302" s="18" t="s">
        <v>692</v>
      </c>
      <c r="S302" s="18" t="s">
        <v>693</v>
      </c>
    </row>
    <row r="303" spans="1:19" s="17" customFormat="1" ht="99.75" hidden="1" x14ac:dyDescent="0.45">
      <c r="A303" s="17">
        <v>13</v>
      </c>
      <c r="B303" s="17" t="s">
        <v>652</v>
      </c>
      <c r="C303" s="17" t="s">
        <v>652</v>
      </c>
      <c r="D303" s="17" t="s">
        <v>684</v>
      </c>
      <c r="E303" s="17" t="s">
        <v>654</v>
      </c>
      <c r="H303" s="18" t="s">
        <v>685</v>
      </c>
      <c r="I303" s="18"/>
      <c r="J303" s="17" t="s">
        <v>686</v>
      </c>
      <c r="K303" s="18"/>
      <c r="L303" s="18" t="s">
        <v>687</v>
      </c>
      <c r="M303" s="18"/>
      <c r="N303" s="18"/>
      <c r="P303" s="18"/>
      <c r="Q303" s="18"/>
      <c r="S303" s="18" t="s">
        <v>688</v>
      </c>
    </row>
    <row r="304" spans="1:19" s="17" customFormat="1" ht="85.5" x14ac:dyDescent="0.45">
      <c r="A304" s="17">
        <v>19</v>
      </c>
      <c r="B304" s="17" t="s">
        <v>660</v>
      </c>
      <c r="C304" s="17" t="s">
        <v>660</v>
      </c>
      <c r="D304" s="17" t="s">
        <v>719</v>
      </c>
      <c r="E304" s="17" t="s">
        <v>654</v>
      </c>
      <c r="H304" s="18" t="s">
        <v>720</v>
      </c>
      <c r="I304" s="18"/>
      <c r="J304" s="17" t="s">
        <v>56</v>
      </c>
      <c r="K304" s="18" t="s">
        <v>721</v>
      </c>
      <c r="L304" s="37" t="s">
        <v>722</v>
      </c>
      <c r="M304" s="36" t="s">
        <v>723</v>
      </c>
      <c r="N304" s="36"/>
      <c r="O304" s="39"/>
      <c r="P304" s="18"/>
      <c r="Q304" s="18" t="s">
        <v>724</v>
      </c>
      <c r="S304" s="18" t="s">
        <v>725</v>
      </c>
    </row>
    <row r="305" spans="1:19" s="17" customFormat="1" ht="28.5" x14ac:dyDescent="0.45">
      <c r="A305" s="17">
        <v>20</v>
      </c>
      <c r="B305" s="17" t="s">
        <v>660</v>
      </c>
      <c r="C305" s="17" t="s">
        <v>660</v>
      </c>
      <c r="D305" s="17" t="s">
        <v>726</v>
      </c>
      <c r="E305" s="17" t="s">
        <v>654</v>
      </c>
      <c r="H305" s="18" t="s">
        <v>727</v>
      </c>
      <c r="I305" s="18"/>
      <c r="J305" s="17" t="s">
        <v>728</v>
      </c>
      <c r="K305" s="18"/>
      <c r="L305" s="18" t="s">
        <v>195</v>
      </c>
      <c r="M305" s="36" t="s">
        <v>196</v>
      </c>
      <c r="N305" s="36"/>
      <c r="O305" s="39"/>
      <c r="P305" s="18"/>
      <c r="Q305" s="18" t="s">
        <v>729</v>
      </c>
      <c r="S305" s="18"/>
    </row>
    <row r="306" spans="1:19" s="17" customFormat="1" ht="199.5" x14ac:dyDescent="0.45">
      <c r="A306" s="17">
        <v>22</v>
      </c>
      <c r="B306" s="17" t="s">
        <v>660</v>
      </c>
      <c r="C306" s="17" t="s">
        <v>660</v>
      </c>
      <c r="D306" s="17" t="s">
        <v>736</v>
      </c>
      <c r="E306" s="17" t="s">
        <v>654</v>
      </c>
      <c r="H306" s="18" t="s">
        <v>737</v>
      </c>
      <c r="I306" s="18"/>
      <c r="J306" s="17" t="s">
        <v>56</v>
      </c>
      <c r="K306" s="18"/>
      <c r="L306" s="46" t="s">
        <v>738</v>
      </c>
      <c r="M306" s="36" t="s">
        <v>196</v>
      </c>
      <c r="N306" s="36"/>
      <c r="O306" s="39"/>
      <c r="P306" s="47" t="s">
        <v>739</v>
      </c>
      <c r="Q306" s="73" t="s">
        <v>740</v>
      </c>
      <c r="S306" s="47" t="s">
        <v>741</v>
      </c>
    </row>
    <row r="307" spans="1:19" s="17" customFormat="1" ht="71.25" x14ac:dyDescent="0.45">
      <c r="A307" s="17">
        <v>23</v>
      </c>
      <c r="B307" s="17" t="s">
        <v>660</v>
      </c>
      <c r="C307" s="17" t="s">
        <v>660</v>
      </c>
      <c r="D307" s="17" t="s">
        <v>742</v>
      </c>
      <c r="E307" s="17" t="s">
        <v>654</v>
      </c>
      <c r="H307" s="18" t="s">
        <v>743</v>
      </c>
      <c r="I307" s="18"/>
      <c r="K307" s="18"/>
      <c r="L307" s="18" t="s">
        <v>744</v>
      </c>
      <c r="M307" s="36" t="s">
        <v>745</v>
      </c>
      <c r="N307" s="36"/>
      <c r="O307" s="39"/>
      <c r="P307" s="18" t="s">
        <v>746</v>
      </c>
      <c r="Q307" s="18" t="s">
        <v>747</v>
      </c>
      <c r="S307" s="18"/>
    </row>
    <row r="308" spans="1:19" s="17" customFormat="1" ht="85.5" x14ac:dyDescent="0.45">
      <c r="A308" s="17">
        <v>26</v>
      </c>
      <c r="B308" s="17" t="s">
        <v>660</v>
      </c>
      <c r="C308" s="17" t="s">
        <v>660</v>
      </c>
      <c r="D308" s="17" t="s">
        <v>758</v>
      </c>
      <c r="E308" s="17" t="s">
        <v>654</v>
      </c>
      <c r="H308" s="18" t="s">
        <v>759</v>
      </c>
      <c r="I308" s="18"/>
      <c r="J308" s="17" t="s">
        <v>760</v>
      </c>
      <c r="K308" s="18"/>
      <c r="L308" s="18" t="s">
        <v>195</v>
      </c>
      <c r="M308" s="36" t="s">
        <v>196</v>
      </c>
      <c r="N308" s="36"/>
      <c r="O308" s="39"/>
      <c r="P308" s="18" t="s">
        <v>761</v>
      </c>
      <c r="Q308" s="73" t="s">
        <v>762</v>
      </c>
      <c r="S308" s="18" t="s">
        <v>763</v>
      </c>
    </row>
    <row r="309" spans="1:19" s="17" customFormat="1" ht="85.5" x14ac:dyDescent="0.45">
      <c r="A309" s="17">
        <v>29</v>
      </c>
      <c r="B309" s="17" t="s">
        <v>660</v>
      </c>
      <c r="C309" s="17" t="s">
        <v>660</v>
      </c>
      <c r="D309" s="17" t="s">
        <v>770</v>
      </c>
      <c r="E309" s="17" t="s">
        <v>654</v>
      </c>
      <c r="H309" s="18" t="s">
        <v>771</v>
      </c>
      <c r="I309" s="18"/>
      <c r="J309" s="17" t="s">
        <v>56</v>
      </c>
      <c r="K309" s="18"/>
      <c r="L309" s="18" t="s">
        <v>195</v>
      </c>
      <c r="M309" s="36" t="s">
        <v>196</v>
      </c>
      <c r="N309" s="36"/>
      <c r="O309" s="39"/>
      <c r="P309" s="18" t="s">
        <v>772</v>
      </c>
      <c r="Q309" s="18" t="s">
        <v>773</v>
      </c>
      <c r="S309" s="18"/>
    </row>
    <row r="310" spans="1:19" s="17" customFormat="1" ht="99.75" x14ac:dyDescent="0.45">
      <c r="A310" s="17">
        <v>32</v>
      </c>
      <c r="B310" s="17" t="s">
        <v>660</v>
      </c>
      <c r="C310" s="17" t="s">
        <v>660</v>
      </c>
      <c r="D310" s="17" t="s">
        <v>780</v>
      </c>
      <c r="E310" s="17" t="s">
        <v>654</v>
      </c>
      <c r="H310" s="18" t="s">
        <v>781</v>
      </c>
      <c r="I310" s="18"/>
      <c r="K310" s="18"/>
      <c r="L310" s="18" t="s">
        <v>782</v>
      </c>
      <c r="M310" s="29" t="s">
        <v>783</v>
      </c>
      <c r="N310" s="29"/>
      <c r="O310" s="42"/>
      <c r="P310" s="18"/>
      <c r="Q310" s="18" t="s">
        <v>635</v>
      </c>
      <c r="S310" s="18"/>
    </row>
    <row r="311" spans="1:19" s="17" customFormat="1" ht="99.75" hidden="1" x14ac:dyDescent="0.45">
      <c r="A311" s="17">
        <v>21</v>
      </c>
      <c r="B311" s="17" t="s">
        <v>652</v>
      </c>
      <c r="C311" s="17" t="s">
        <v>652</v>
      </c>
      <c r="D311" s="17" t="s">
        <v>730</v>
      </c>
      <c r="E311" s="17" t="s">
        <v>654</v>
      </c>
      <c r="H311" s="18" t="s">
        <v>731</v>
      </c>
      <c r="I311" s="18"/>
      <c r="J311" s="17" t="s">
        <v>732</v>
      </c>
      <c r="K311" s="18"/>
      <c r="L311" s="48"/>
      <c r="M311" s="36" t="s">
        <v>733</v>
      </c>
      <c r="N311" s="18" t="s">
        <v>734</v>
      </c>
      <c r="O311" s="39"/>
      <c r="P311" s="49" t="s">
        <v>735</v>
      </c>
      <c r="Q311" s="48"/>
      <c r="S311" s="18" t="s">
        <v>735</v>
      </c>
    </row>
    <row r="312" spans="1:19" s="17" customFormat="1" ht="71.25" x14ac:dyDescent="0.45">
      <c r="A312" s="17">
        <v>35</v>
      </c>
      <c r="B312" s="17" t="s">
        <v>660</v>
      </c>
      <c r="C312" s="17" t="s">
        <v>660</v>
      </c>
      <c r="D312" s="17" t="s">
        <v>788</v>
      </c>
      <c r="E312" s="17" t="s">
        <v>654</v>
      </c>
      <c r="H312" s="18" t="s">
        <v>789</v>
      </c>
      <c r="I312" s="18"/>
      <c r="K312" s="18"/>
      <c r="L312" s="18" t="s">
        <v>790</v>
      </c>
      <c r="M312" s="29" t="s">
        <v>791</v>
      </c>
      <c r="N312" s="29"/>
      <c r="O312" s="42"/>
      <c r="P312" s="18"/>
      <c r="Q312" s="18" t="s">
        <v>792</v>
      </c>
      <c r="S312" s="18"/>
    </row>
    <row r="313" spans="1:19" s="17" customFormat="1" ht="85.5" x14ac:dyDescent="0.45">
      <c r="A313" s="17">
        <v>39</v>
      </c>
      <c r="B313" s="17" t="s">
        <v>660</v>
      </c>
      <c r="C313" s="17" t="s">
        <v>660</v>
      </c>
      <c r="D313" s="17" t="s">
        <v>804</v>
      </c>
      <c r="E313" s="17" t="s">
        <v>654</v>
      </c>
      <c r="H313" s="18" t="s">
        <v>805</v>
      </c>
      <c r="I313" s="18"/>
      <c r="J313" s="17" t="s">
        <v>56</v>
      </c>
      <c r="K313" s="18"/>
      <c r="L313" s="18" t="s">
        <v>806</v>
      </c>
      <c r="M313" s="18" t="s">
        <v>807</v>
      </c>
      <c r="N313" s="18"/>
      <c r="P313" s="18"/>
      <c r="Q313" s="18" t="s">
        <v>808</v>
      </c>
      <c r="S313" s="18"/>
    </row>
    <row r="314" spans="1:19" s="17" customFormat="1" ht="57" x14ac:dyDescent="0.45">
      <c r="A314" s="17">
        <v>40</v>
      </c>
      <c r="B314" s="17" t="s">
        <v>660</v>
      </c>
      <c r="C314" s="17" t="s">
        <v>660</v>
      </c>
      <c r="D314" s="17" t="s">
        <v>809</v>
      </c>
      <c r="E314" s="17" t="s">
        <v>654</v>
      </c>
      <c r="H314" s="18" t="s">
        <v>810</v>
      </c>
      <c r="I314" s="18"/>
      <c r="J314" s="17" t="s">
        <v>811</v>
      </c>
      <c r="K314" s="18"/>
      <c r="L314" s="18" t="s">
        <v>812</v>
      </c>
      <c r="M314" s="36" t="s">
        <v>607</v>
      </c>
      <c r="N314" s="36"/>
      <c r="O314" s="39"/>
      <c r="P314" s="18"/>
      <c r="Q314" s="18" t="s">
        <v>813</v>
      </c>
      <c r="S314" s="18" t="s">
        <v>814</v>
      </c>
    </row>
    <row r="315" spans="1:19" s="17" customFormat="1" ht="99.75" x14ac:dyDescent="0.45">
      <c r="A315" s="17">
        <v>42</v>
      </c>
      <c r="B315" s="17" t="s">
        <v>660</v>
      </c>
      <c r="C315" s="17" t="s">
        <v>660</v>
      </c>
      <c r="D315" s="17" t="s">
        <v>820</v>
      </c>
      <c r="E315" s="17" t="s">
        <v>654</v>
      </c>
      <c r="H315" s="18" t="s">
        <v>821</v>
      </c>
      <c r="I315" s="18"/>
      <c r="K315" s="18"/>
      <c r="L315" s="18" t="s">
        <v>195</v>
      </c>
      <c r="M315" s="36" t="s">
        <v>609</v>
      </c>
      <c r="N315" s="36"/>
      <c r="O315" s="39"/>
      <c r="P315" s="18"/>
      <c r="Q315" s="18" t="s">
        <v>822</v>
      </c>
      <c r="S315" s="18" t="s">
        <v>823</v>
      </c>
    </row>
    <row r="316" spans="1:19" s="17" customFormat="1" ht="114" x14ac:dyDescent="0.45">
      <c r="A316" s="17">
        <v>44</v>
      </c>
      <c r="B316" s="17" t="s">
        <v>660</v>
      </c>
      <c r="C316" s="17" t="s">
        <v>660</v>
      </c>
      <c r="D316" s="17" t="s">
        <v>829</v>
      </c>
      <c r="E316" s="17" t="s">
        <v>654</v>
      </c>
      <c r="H316" s="18" t="s">
        <v>830</v>
      </c>
      <c r="I316" s="18"/>
      <c r="J316" s="17" t="s">
        <v>831</v>
      </c>
      <c r="K316" s="18"/>
      <c r="L316" s="18" t="s">
        <v>832</v>
      </c>
      <c r="M316" s="18" t="s">
        <v>833</v>
      </c>
      <c r="N316" s="18"/>
      <c r="P316" s="18"/>
      <c r="Q316" s="18"/>
      <c r="S316" s="18" t="s">
        <v>834</v>
      </c>
    </row>
    <row r="317" spans="1:19" s="17" customFormat="1" ht="128.25" x14ac:dyDescent="0.45">
      <c r="A317" s="17">
        <v>46</v>
      </c>
      <c r="B317" s="17" t="s">
        <v>660</v>
      </c>
      <c r="C317" s="17" t="s">
        <v>660</v>
      </c>
      <c r="D317" s="17" t="s">
        <v>835</v>
      </c>
      <c r="E317" s="17" t="s">
        <v>654</v>
      </c>
      <c r="H317" s="18" t="s">
        <v>836</v>
      </c>
      <c r="I317" s="18"/>
      <c r="J317" s="17" t="s">
        <v>837</v>
      </c>
      <c r="K317" s="18"/>
      <c r="L317" s="18" t="s">
        <v>838</v>
      </c>
      <c r="M317" s="36" t="s">
        <v>839</v>
      </c>
      <c r="N317" s="36"/>
      <c r="O317" s="39"/>
      <c r="P317" s="18"/>
      <c r="Q317" s="18" t="s">
        <v>840</v>
      </c>
      <c r="S317" s="18" t="s">
        <v>841</v>
      </c>
    </row>
    <row r="318" spans="1:19" s="17" customFormat="1" ht="71.25" hidden="1" x14ac:dyDescent="0.45">
      <c r="A318" s="21">
        <v>28</v>
      </c>
      <c r="B318" s="21" t="s">
        <v>652</v>
      </c>
      <c r="C318" s="21" t="s">
        <v>652</v>
      </c>
      <c r="D318" s="21" t="s">
        <v>766</v>
      </c>
      <c r="E318" s="21" t="s">
        <v>654</v>
      </c>
      <c r="H318" s="22" t="s">
        <v>767</v>
      </c>
      <c r="I318" s="22"/>
      <c r="J318" s="21" t="s">
        <v>56</v>
      </c>
      <c r="K318" s="22" t="s">
        <v>768</v>
      </c>
      <c r="L318" s="22"/>
      <c r="M318" s="24"/>
      <c r="N318" s="24"/>
      <c r="O318" s="40"/>
      <c r="P318" s="18"/>
      <c r="Q318" s="18"/>
      <c r="S318" s="18" t="s">
        <v>769</v>
      </c>
    </row>
    <row r="319" spans="1:19" s="17" customFormat="1" ht="57" x14ac:dyDescent="0.45">
      <c r="A319" s="26">
        <v>50</v>
      </c>
      <c r="B319" s="26" t="s">
        <v>660</v>
      </c>
      <c r="C319" s="26" t="s">
        <v>660</v>
      </c>
      <c r="D319" s="26" t="s">
        <v>854</v>
      </c>
      <c r="E319" s="26" t="s">
        <v>654</v>
      </c>
      <c r="H319" s="27" t="s">
        <v>855</v>
      </c>
      <c r="I319" s="27"/>
      <c r="J319" s="26" t="s">
        <v>56</v>
      </c>
      <c r="K319" s="27"/>
      <c r="L319" s="27" t="s">
        <v>195</v>
      </c>
      <c r="M319" s="28" t="s">
        <v>196</v>
      </c>
      <c r="N319" s="28"/>
      <c r="O319" s="44"/>
      <c r="P319" s="27"/>
      <c r="Q319" s="27" t="s">
        <v>856</v>
      </c>
      <c r="R319" s="26"/>
      <c r="S319" s="27" t="s">
        <v>857</v>
      </c>
    </row>
    <row r="320" spans="1:19" s="17" customFormat="1" ht="128.25" x14ac:dyDescent="0.45">
      <c r="A320" s="17">
        <v>53</v>
      </c>
      <c r="B320" s="17" t="s">
        <v>660</v>
      </c>
      <c r="C320" s="17" t="s">
        <v>660</v>
      </c>
      <c r="D320" s="17" t="s">
        <v>862</v>
      </c>
      <c r="E320" s="17" t="s">
        <v>654</v>
      </c>
      <c r="H320" s="18" t="s">
        <v>863</v>
      </c>
      <c r="I320" s="18"/>
      <c r="J320" s="17" t="s">
        <v>56</v>
      </c>
      <c r="K320" s="18"/>
      <c r="L320" s="18" t="s">
        <v>864</v>
      </c>
      <c r="M320" s="18" t="e" vm="1">
        <v>#VALUE!</v>
      </c>
      <c r="N320" s="18"/>
      <c r="P320" s="18" t="s">
        <v>865</v>
      </c>
      <c r="Q320" s="18" t="s">
        <v>618</v>
      </c>
      <c r="S320" s="18"/>
    </row>
    <row r="321" spans="1:19" s="17" customFormat="1" ht="85.5" x14ac:dyDescent="0.45">
      <c r="A321" s="17">
        <v>55</v>
      </c>
      <c r="B321" s="17" t="s">
        <v>660</v>
      </c>
      <c r="C321" s="17" t="s">
        <v>660</v>
      </c>
      <c r="D321" s="17" t="s">
        <v>866</v>
      </c>
      <c r="E321" s="17" t="s">
        <v>654</v>
      </c>
      <c r="H321" s="18" t="s">
        <v>867</v>
      </c>
      <c r="I321" s="18"/>
      <c r="J321" s="17" t="s">
        <v>868</v>
      </c>
      <c r="K321" s="18"/>
      <c r="L321" s="18" t="s">
        <v>869</v>
      </c>
      <c r="M321" s="18" t="s">
        <v>807</v>
      </c>
      <c r="N321" s="18"/>
      <c r="O321" s="17" t="s">
        <v>660</v>
      </c>
      <c r="P321" s="18" t="s">
        <v>870</v>
      </c>
      <c r="Q321" s="18"/>
      <c r="S321" s="18" t="s">
        <v>871</v>
      </c>
    </row>
    <row r="322" spans="1:19" s="17" customFormat="1" ht="57" hidden="1" x14ac:dyDescent="0.45">
      <c r="A322" s="17">
        <v>34</v>
      </c>
      <c r="B322" s="17" t="s">
        <v>652</v>
      </c>
      <c r="C322" s="17" t="s">
        <v>652</v>
      </c>
      <c r="D322" s="17" t="s">
        <v>784</v>
      </c>
      <c r="E322" s="17" t="s">
        <v>654</v>
      </c>
      <c r="H322" s="18" t="s">
        <v>785</v>
      </c>
      <c r="I322" s="18"/>
      <c r="K322" s="18"/>
      <c r="L322" s="18" t="s">
        <v>687</v>
      </c>
      <c r="M322" s="23"/>
      <c r="N322" s="23"/>
      <c r="O322" s="43"/>
      <c r="P322" s="18"/>
      <c r="Q322" s="18" t="s">
        <v>786</v>
      </c>
      <c r="S322" s="18" t="s">
        <v>787</v>
      </c>
    </row>
    <row r="323" spans="1:19" s="17" customFormat="1" ht="114" x14ac:dyDescent="0.45">
      <c r="A323" s="17">
        <v>56</v>
      </c>
      <c r="B323" s="17" t="s">
        <v>660</v>
      </c>
      <c r="C323" s="17" t="s">
        <v>660</v>
      </c>
      <c r="D323" s="17" t="s">
        <v>872</v>
      </c>
      <c r="E323" s="17" t="s">
        <v>654</v>
      </c>
      <c r="H323" s="18" t="s">
        <v>873</v>
      </c>
      <c r="I323" s="18"/>
      <c r="J323" s="17" t="s">
        <v>56</v>
      </c>
      <c r="K323" s="18"/>
      <c r="L323" s="18" t="s">
        <v>616</v>
      </c>
      <c r="M323" s="36" t="s">
        <v>617</v>
      </c>
      <c r="N323" s="36"/>
      <c r="O323" s="39"/>
      <c r="P323" s="18"/>
      <c r="Q323" s="18" t="s">
        <v>874</v>
      </c>
      <c r="S323" s="18" t="s">
        <v>875</v>
      </c>
    </row>
    <row r="324" spans="1:19" s="17" customFormat="1" ht="99.75" hidden="1" x14ac:dyDescent="0.45">
      <c r="A324" s="17">
        <v>37</v>
      </c>
      <c r="B324" s="17" t="s">
        <v>652</v>
      </c>
      <c r="C324" s="17" t="s">
        <v>652</v>
      </c>
      <c r="D324" s="17" t="s">
        <v>793</v>
      </c>
      <c r="E324" s="17" t="s">
        <v>654</v>
      </c>
      <c r="H324" s="18" t="s">
        <v>794</v>
      </c>
      <c r="I324" s="18"/>
      <c r="K324" s="18"/>
      <c r="L324" s="18" t="s">
        <v>795</v>
      </c>
      <c r="M324" s="23"/>
      <c r="N324" s="23"/>
      <c r="O324" s="43" t="s">
        <v>660</v>
      </c>
      <c r="P324" s="18" t="s">
        <v>796</v>
      </c>
      <c r="Q324" s="18"/>
      <c r="S324" s="18" t="s">
        <v>797</v>
      </c>
    </row>
    <row r="325" spans="1:19" s="17" customFormat="1" ht="228" hidden="1" x14ac:dyDescent="0.45">
      <c r="A325" s="17">
        <v>38</v>
      </c>
      <c r="B325" s="17" t="s">
        <v>652</v>
      </c>
      <c r="C325" s="17" t="s">
        <v>652</v>
      </c>
      <c r="D325" s="17" t="s">
        <v>798</v>
      </c>
      <c r="E325" s="17" t="s">
        <v>654</v>
      </c>
      <c r="H325" s="18" t="s">
        <v>799</v>
      </c>
      <c r="I325" s="18"/>
      <c r="K325" s="18"/>
      <c r="L325" s="18" t="s">
        <v>800</v>
      </c>
      <c r="M325" s="23"/>
      <c r="N325" s="23"/>
      <c r="O325" s="43" t="s">
        <v>660</v>
      </c>
      <c r="P325" s="18" t="s">
        <v>801</v>
      </c>
      <c r="Q325" s="18" t="s">
        <v>802</v>
      </c>
      <c r="S325" s="18" t="s">
        <v>803</v>
      </c>
    </row>
    <row r="326" spans="1:19" s="17" customFormat="1" ht="71.25" x14ac:dyDescent="0.45">
      <c r="A326" s="17">
        <v>58</v>
      </c>
      <c r="B326" s="17" t="s">
        <v>660</v>
      </c>
      <c r="C326" s="17" t="s">
        <v>660</v>
      </c>
      <c r="D326" s="17" t="s">
        <v>881</v>
      </c>
      <c r="E326" s="17" t="s">
        <v>654</v>
      </c>
      <c r="H326" s="18" t="s">
        <v>882</v>
      </c>
      <c r="I326" s="18"/>
      <c r="J326" s="17" t="s">
        <v>56</v>
      </c>
      <c r="K326" s="18" t="s">
        <v>883</v>
      </c>
      <c r="L326" s="18" t="s">
        <v>336</v>
      </c>
      <c r="M326" s="36" t="s">
        <v>337</v>
      </c>
      <c r="N326" s="36"/>
      <c r="O326" s="39"/>
      <c r="P326" s="18"/>
      <c r="Q326" s="18" t="s">
        <v>336</v>
      </c>
      <c r="S326" s="18"/>
    </row>
    <row r="327" spans="1:19" s="17" customFormat="1" ht="85.5" x14ac:dyDescent="0.45">
      <c r="A327" s="17">
        <v>59</v>
      </c>
      <c r="B327" s="17" t="s">
        <v>660</v>
      </c>
      <c r="C327" s="17" t="s">
        <v>660</v>
      </c>
      <c r="D327" s="17" t="s">
        <v>884</v>
      </c>
      <c r="E327" s="17" t="s">
        <v>654</v>
      </c>
      <c r="H327" s="18" t="s">
        <v>885</v>
      </c>
      <c r="I327" s="18"/>
      <c r="J327" s="17" t="s">
        <v>56</v>
      </c>
      <c r="K327" s="18"/>
      <c r="L327" s="18" t="s">
        <v>869</v>
      </c>
      <c r="M327" s="18" t="s">
        <v>807</v>
      </c>
      <c r="N327" s="18"/>
      <c r="P327" s="18"/>
      <c r="Q327" s="18" t="s">
        <v>869</v>
      </c>
      <c r="S327" s="18" t="s">
        <v>886</v>
      </c>
    </row>
    <row r="328" spans="1:19" s="17" customFormat="1" ht="42.75" x14ac:dyDescent="0.45">
      <c r="A328" s="17">
        <v>60</v>
      </c>
      <c r="B328" s="17" t="s">
        <v>660</v>
      </c>
      <c r="C328" s="17" t="s">
        <v>660</v>
      </c>
      <c r="D328" s="17" t="s">
        <v>887</v>
      </c>
      <c r="E328" s="17" t="s">
        <v>654</v>
      </c>
      <c r="H328" s="18" t="s">
        <v>888</v>
      </c>
      <c r="I328" s="18"/>
      <c r="J328" s="17" t="s">
        <v>56</v>
      </c>
      <c r="K328" s="18"/>
      <c r="L328" s="18" t="s">
        <v>195</v>
      </c>
      <c r="M328" s="36" t="s">
        <v>196</v>
      </c>
      <c r="N328" s="36"/>
      <c r="O328" s="39"/>
      <c r="P328" s="18"/>
      <c r="Q328" s="18" t="s">
        <v>889</v>
      </c>
      <c r="S328" s="18"/>
    </row>
    <row r="329" spans="1:19" s="17" customFormat="1" ht="85.5" x14ac:dyDescent="0.45">
      <c r="A329" s="17">
        <v>62</v>
      </c>
      <c r="B329" s="17" t="s">
        <v>660</v>
      </c>
      <c r="C329" s="17" t="s">
        <v>694</v>
      </c>
      <c r="D329" s="17" t="s">
        <v>891</v>
      </c>
      <c r="E329" s="17" t="s">
        <v>654</v>
      </c>
      <c r="H329" s="18" t="s">
        <v>892</v>
      </c>
      <c r="I329" s="18"/>
      <c r="J329" s="17" t="s">
        <v>56</v>
      </c>
      <c r="K329" s="18"/>
      <c r="L329" s="18" t="s">
        <v>869</v>
      </c>
      <c r="M329" s="18" t="s">
        <v>807</v>
      </c>
      <c r="N329" s="18"/>
      <c r="P329" s="18"/>
      <c r="Q329" s="18" t="s">
        <v>869</v>
      </c>
      <c r="S329" s="18"/>
    </row>
    <row r="330" spans="1:19" s="17" customFormat="1" ht="99.75" hidden="1" x14ac:dyDescent="0.45">
      <c r="A330" s="17">
        <v>43</v>
      </c>
      <c r="B330" s="17" t="s">
        <v>652</v>
      </c>
      <c r="C330" s="17" t="s">
        <v>652</v>
      </c>
      <c r="D330" s="17" t="s">
        <v>824</v>
      </c>
      <c r="E330" s="17" t="s">
        <v>654</v>
      </c>
      <c r="H330" s="18" t="s">
        <v>825</v>
      </c>
      <c r="I330" s="18"/>
      <c r="J330" s="17" t="s">
        <v>826</v>
      </c>
      <c r="K330" s="18"/>
      <c r="L330" s="18"/>
      <c r="M330" s="18"/>
      <c r="N330" s="18"/>
      <c r="P330" s="18"/>
      <c r="Q330" s="18" t="s">
        <v>827</v>
      </c>
      <c r="S330" s="18" t="s">
        <v>828</v>
      </c>
    </row>
    <row r="331" spans="1:19" s="17" customFormat="1" ht="28.5" x14ac:dyDescent="0.45">
      <c r="A331" s="17">
        <v>66</v>
      </c>
      <c r="B331" s="17" t="s">
        <v>660</v>
      </c>
      <c r="C331" s="17" t="s">
        <v>660</v>
      </c>
      <c r="D331" s="17" t="s">
        <v>902</v>
      </c>
      <c r="E331" s="17" t="s">
        <v>654</v>
      </c>
      <c r="H331" s="18" t="s">
        <v>903</v>
      </c>
      <c r="I331" s="18"/>
      <c r="J331" s="17" t="s">
        <v>904</v>
      </c>
      <c r="K331" s="18"/>
      <c r="L331" s="18" t="s">
        <v>626</v>
      </c>
      <c r="M331" s="36" t="s">
        <v>905</v>
      </c>
      <c r="N331" s="36"/>
      <c r="O331" s="39"/>
      <c r="P331" s="18"/>
      <c r="Q331" s="18" t="s">
        <v>906</v>
      </c>
      <c r="S331" s="18"/>
    </row>
    <row r="332" spans="1:19" s="17" customFormat="1" ht="42.75" x14ac:dyDescent="0.45">
      <c r="A332" s="17">
        <v>68</v>
      </c>
      <c r="B332" s="17" t="s">
        <v>660</v>
      </c>
      <c r="C332" s="17" t="s">
        <v>660</v>
      </c>
      <c r="D332" s="17" t="s">
        <v>909</v>
      </c>
      <c r="E332" s="17" t="s">
        <v>654</v>
      </c>
      <c r="H332" s="18" t="s">
        <v>910</v>
      </c>
      <c r="I332" s="18"/>
      <c r="J332" s="17" t="s">
        <v>911</v>
      </c>
      <c r="K332" s="18"/>
      <c r="L332" s="18" t="s">
        <v>119</v>
      </c>
      <c r="M332" s="36" t="s">
        <v>120</v>
      </c>
      <c r="N332" s="36"/>
      <c r="O332" s="39" t="s">
        <v>660</v>
      </c>
      <c r="P332" s="18"/>
      <c r="Q332" s="18" t="s">
        <v>912</v>
      </c>
      <c r="S332" s="18"/>
    </row>
    <row r="333" spans="1:19" s="17" customFormat="1" ht="114" hidden="1" x14ac:dyDescent="0.45">
      <c r="A333" s="17">
        <v>47</v>
      </c>
      <c r="B333" s="17" t="s">
        <v>652</v>
      </c>
      <c r="C333" s="17" t="s">
        <v>652</v>
      </c>
      <c r="D333" s="17" t="s">
        <v>842</v>
      </c>
      <c r="E333" s="17" t="s">
        <v>654</v>
      </c>
      <c r="H333" s="18" t="s">
        <v>843</v>
      </c>
      <c r="I333" s="18"/>
      <c r="K333" s="18"/>
      <c r="L333" s="18" t="s">
        <v>687</v>
      </c>
      <c r="M333" s="18"/>
      <c r="N333" s="18"/>
      <c r="P333" s="18"/>
      <c r="Q333" s="18" t="s">
        <v>844</v>
      </c>
      <c r="R333" s="18" t="s">
        <v>845</v>
      </c>
      <c r="S333" s="18" t="s">
        <v>846</v>
      </c>
    </row>
    <row r="334" spans="1:19" s="17" customFormat="1" ht="71.25" x14ac:dyDescent="0.45">
      <c r="A334" s="17">
        <v>69</v>
      </c>
      <c r="B334" s="17" t="s">
        <v>913</v>
      </c>
      <c r="C334" s="17" t="s">
        <v>660</v>
      </c>
      <c r="D334" s="17" t="s">
        <v>914</v>
      </c>
      <c r="E334" s="17" t="s">
        <v>654</v>
      </c>
      <c r="H334" s="18" t="s">
        <v>915</v>
      </c>
      <c r="I334" s="18"/>
      <c r="J334" s="17" t="s">
        <v>56</v>
      </c>
      <c r="K334" s="18" t="s">
        <v>916</v>
      </c>
      <c r="L334" s="18" t="s">
        <v>195</v>
      </c>
      <c r="M334" s="23" t="s">
        <v>196</v>
      </c>
      <c r="N334" s="23"/>
      <c r="O334" s="43"/>
      <c r="P334" s="18"/>
      <c r="Q334" s="18" t="s">
        <v>917</v>
      </c>
      <c r="S334" s="18"/>
    </row>
    <row r="335" spans="1:19" s="17" customFormat="1" ht="114" hidden="1" x14ac:dyDescent="0.45">
      <c r="A335" s="17">
        <v>49</v>
      </c>
      <c r="B335" s="17" t="s">
        <v>652</v>
      </c>
      <c r="C335" s="17" t="s">
        <v>652</v>
      </c>
      <c r="D335" s="17" t="s">
        <v>851</v>
      </c>
      <c r="E335" s="17" t="s">
        <v>654</v>
      </c>
      <c r="H335" s="18" t="s">
        <v>852</v>
      </c>
      <c r="I335" s="18"/>
      <c r="J335" s="17" t="s">
        <v>56</v>
      </c>
      <c r="K335" s="18"/>
      <c r="L335" s="18"/>
      <c r="M335" s="18"/>
      <c r="N335" s="18"/>
      <c r="P335" s="18" t="s">
        <v>750</v>
      </c>
      <c r="Q335" s="18"/>
      <c r="S335" s="18" t="s">
        <v>853</v>
      </c>
    </row>
    <row r="336" spans="1:19" s="17" customFormat="1" ht="42.75" x14ac:dyDescent="0.45">
      <c r="A336" s="17">
        <v>72</v>
      </c>
      <c r="B336" s="17" t="s">
        <v>660</v>
      </c>
      <c r="C336" s="17" t="s">
        <v>660</v>
      </c>
      <c r="D336" s="17" t="s">
        <v>921</v>
      </c>
      <c r="E336" s="17" t="s">
        <v>654</v>
      </c>
      <c r="H336" s="18" t="s">
        <v>922</v>
      </c>
      <c r="I336" s="18"/>
      <c r="J336" s="17" t="s">
        <v>56</v>
      </c>
      <c r="K336" s="18" t="s">
        <v>923</v>
      </c>
      <c r="L336" s="18" t="s">
        <v>924</v>
      </c>
      <c r="M336" s="36" t="s">
        <v>925</v>
      </c>
      <c r="N336" s="36"/>
      <c r="O336" s="39" t="s">
        <v>660</v>
      </c>
      <c r="P336" s="18"/>
      <c r="Q336" s="18" t="s">
        <v>924</v>
      </c>
      <c r="S336" s="18"/>
    </row>
    <row r="337" spans="1:19" s="17" customFormat="1" ht="171" hidden="1" x14ac:dyDescent="0.45">
      <c r="A337" s="17">
        <v>51</v>
      </c>
      <c r="B337" s="17" t="s">
        <v>652</v>
      </c>
      <c r="C337" s="17" t="s">
        <v>652</v>
      </c>
      <c r="D337" s="17" t="s">
        <v>858</v>
      </c>
      <c r="E337" s="17" t="s">
        <v>654</v>
      </c>
      <c r="H337" s="18" t="s">
        <v>859</v>
      </c>
      <c r="I337" s="18"/>
      <c r="J337" s="17" t="s">
        <v>56</v>
      </c>
      <c r="K337" s="18"/>
      <c r="L337" s="18"/>
      <c r="M337" s="18"/>
      <c r="N337" s="18"/>
      <c r="P337" s="18" t="s">
        <v>750</v>
      </c>
      <c r="Q337" s="18"/>
      <c r="S337" s="18"/>
    </row>
    <row r="338" spans="1:19" s="17" customFormat="1" ht="256.5" hidden="1" x14ac:dyDescent="0.45">
      <c r="A338" s="17">
        <v>52</v>
      </c>
      <c r="B338" s="17" t="s">
        <v>652</v>
      </c>
      <c r="C338" s="17" t="s">
        <v>652</v>
      </c>
      <c r="D338" s="17" t="s">
        <v>860</v>
      </c>
      <c r="E338" s="17" t="s">
        <v>654</v>
      </c>
      <c r="H338" s="18" t="s">
        <v>861</v>
      </c>
      <c r="I338" s="18"/>
      <c r="J338" s="17" t="s">
        <v>56</v>
      </c>
      <c r="K338" s="18"/>
      <c r="L338" s="18"/>
      <c r="M338" s="18"/>
      <c r="N338" s="18"/>
      <c r="P338" s="18" t="s">
        <v>750</v>
      </c>
      <c r="Q338" s="18"/>
      <c r="S338" s="18"/>
    </row>
    <row r="339" spans="1:19" s="17" customFormat="1" ht="63" customHeight="1" x14ac:dyDescent="0.45">
      <c r="A339" s="17">
        <v>73</v>
      </c>
      <c r="B339" s="17" t="s">
        <v>660</v>
      </c>
      <c r="C339" s="17" t="s">
        <v>660</v>
      </c>
      <c r="D339" s="17" t="s">
        <v>926</v>
      </c>
      <c r="E339" s="17" t="s">
        <v>654</v>
      </c>
      <c r="H339" s="18" t="s">
        <v>927</v>
      </c>
      <c r="I339" s="18"/>
      <c r="J339" s="17" t="s">
        <v>56</v>
      </c>
      <c r="K339" s="18" t="s">
        <v>928</v>
      </c>
      <c r="L339" s="18" t="s">
        <v>195</v>
      </c>
      <c r="M339" s="36" t="s">
        <v>196</v>
      </c>
      <c r="N339" s="36"/>
      <c r="O339" s="39" t="s">
        <v>660</v>
      </c>
      <c r="P339" s="18"/>
      <c r="Q339" s="18" t="s">
        <v>195</v>
      </c>
      <c r="S339" s="18"/>
    </row>
    <row r="340" spans="1:19" s="17" customFormat="1" ht="213.75" x14ac:dyDescent="0.45">
      <c r="A340" s="17">
        <v>74</v>
      </c>
      <c r="B340" s="17" t="s">
        <v>660</v>
      </c>
      <c r="C340" s="17" t="s">
        <v>660</v>
      </c>
      <c r="D340" s="17" t="s">
        <v>929</v>
      </c>
      <c r="E340" s="17" t="s">
        <v>654</v>
      </c>
      <c r="H340" s="18" t="s">
        <v>930</v>
      </c>
      <c r="I340" s="18"/>
      <c r="J340" s="17" t="s">
        <v>56</v>
      </c>
      <c r="K340" s="18"/>
      <c r="L340" s="18" t="s">
        <v>931</v>
      </c>
      <c r="M340" s="36" t="s">
        <v>609</v>
      </c>
      <c r="N340" s="36"/>
      <c r="O340" s="39"/>
      <c r="P340" s="18" t="s">
        <v>932</v>
      </c>
      <c r="Q340" s="18" t="s">
        <v>933</v>
      </c>
      <c r="S340" s="18"/>
    </row>
    <row r="341" spans="1:19" s="17" customFormat="1" ht="57" x14ac:dyDescent="0.45">
      <c r="A341" s="17">
        <v>75</v>
      </c>
      <c r="B341" s="17" t="s">
        <v>660</v>
      </c>
      <c r="D341" s="17" t="s">
        <v>934</v>
      </c>
      <c r="E341" s="17" t="s">
        <v>654</v>
      </c>
      <c r="H341" s="18" t="s">
        <v>935</v>
      </c>
      <c r="I341" s="18"/>
      <c r="J341" s="17" t="s">
        <v>56</v>
      </c>
      <c r="K341" s="18"/>
      <c r="L341" s="18" t="s">
        <v>936</v>
      </c>
      <c r="M341" s="36" t="s">
        <v>196</v>
      </c>
      <c r="N341" s="36"/>
      <c r="O341" s="39" t="s">
        <v>660</v>
      </c>
      <c r="P341" s="18" t="s">
        <v>936</v>
      </c>
      <c r="Q341" s="18" t="s">
        <v>937</v>
      </c>
      <c r="S341" s="18"/>
    </row>
    <row r="342" spans="1:19" s="17" customFormat="1" ht="85.5" x14ac:dyDescent="0.45">
      <c r="A342" s="17">
        <v>83</v>
      </c>
      <c r="B342" s="17" t="s">
        <v>660</v>
      </c>
      <c r="C342" s="17" t="s">
        <v>660</v>
      </c>
      <c r="D342" s="17" t="s">
        <v>941</v>
      </c>
      <c r="E342" s="17" t="s">
        <v>654</v>
      </c>
      <c r="H342" s="18" t="s">
        <v>942</v>
      </c>
      <c r="I342" s="18"/>
      <c r="J342" s="17" t="s">
        <v>56</v>
      </c>
      <c r="K342" s="18"/>
      <c r="L342" s="18" t="s">
        <v>943</v>
      </c>
      <c r="M342" s="18"/>
      <c r="N342" s="18"/>
      <c r="O342" s="17" t="s">
        <v>660</v>
      </c>
      <c r="P342" s="18" t="s">
        <v>944</v>
      </c>
      <c r="Q342" s="18" t="s">
        <v>945</v>
      </c>
      <c r="S342" s="18"/>
    </row>
    <row r="343" spans="1:19" s="17" customFormat="1" ht="85.5" x14ac:dyDescent="0.45">
      <c r="A343" s="17">
        <v>84</v>
      </c>
      <c r="B343" s="17" t="s">
        <v>660</v>
      </c>
      <c r="C343" s="17" t="s">
        <v>660</v>
      </c>
      <c r="D343" s="17" t="s">
        <v>946</v>
      </c>
      <c r="E343" s="17" t="s">
        <v>654</v>
      </c>
      <c r="H343" s="18" t="s">
        <v>947</v>
      </c>
      <c r="I343" s="18"/>
      <c r="J343" s="17" t="s">
        <v>56</v>
      </c>
      <c r="K343" s="18"/>
      <c r="L343" s="18" t="s">
        <v>832</v>
      </c>
      <c r="M343" s="28" t="s">
        <v>948</v>
      </c>
      <c r="N343" s="28"/>
      <c r="O343" s="44"/>
      <c r="P343" s="18" t="s">
        <v>949</v>
      </c>
      <c r="Q343" s="18" t="s">
        <v>832</v>
      </c>
      <c r="S343" s="18" t="s">
        <v>950</v>
      </c>
    </row>
    <row r="344" spans="1:19" s="17" customFormat="1" ht="42.75" x14ac:dyDescent="0.45">
      <c r="A344" s="26">
        <v>88</v>
      </c>
      <c r="B344" s="26" t="s">
        <v>660</v>
      </c>
      <c r="C344" s="26" t="s">
        <v>660</v>
      </c>
      <c r="D344" s="26" t="s">
        <v>957</v>
      </c>
      <c r="E344" s="26" t="s">
        <v>654</v>
      </c>
      <c r="H344" s="27" t="s">
        <v>958</v>
      </c>
      <c r="I344" s="27"/>
      <c r="J344" s="26" t="s">
        <v>56</v>
      </c>
      <c r="K344" s="27"/>
      <c r="L344" s="27" t="s">
        <v>616</v>
      </c>
      <c r="M344" s="28" t="s">
        <v>959</v>
      </c>
      <c r="N344" s="28"/>
      <c r="O344" s="44"/>
      <c r="P344" s="27" t="s">
        <v>960</v>
      </c>
      <c r="Q344" s="27" t="s">
        <v>961</v>
      </c>
      <c r="R344" s="26"/>
      <c r="S344" s="27" t="s">
        <v>962</v>
      </c>
    </row>
    <row r="345" spans="1:19" s="17" customFormat="1" ht="57" x14ac:dyDescent="0.45">
      <c r="A345" s="17">
        <v>92</v>
      </c>
      <c r="B345" s="17" t="s">
        <v>660</v>
      </c>
      <c r="C345" s="17" t="s">
        <v>660</v>
      </c>
      <c r="D345" s="17" t="s">
        <v>973</v>
      </c>
      <c r="E345" s="17" t="s">
        <v>654</v>
      </c>
      <c r="H345" s="18" t="s">
        <v>974</v>
      </c>
      <c r="I345" s="18"/>
      <c r="J345" s="17" t="s">
        <v>975</v>
      </c>
      <c r="K345" s="18"/>
      <c r="L345" s="18" t="s">
        <v>107</v>
      </c>
      <c r="M345" s="36" t="s">
        <v>108</v>
      </c>
      <c r="N345" s="36"/>
      <c r="O345" s="39"/>
      <c r="P345" s="18"/>
      <c r="Q345" s="18" t="s">
        <v>107</v>
      </c>
      <c r="S345" s="18"/>
    </row>
    <row r="346" spans="1:19" s="17" customFormat="1" ht="42.75" x14ac:dyDescent="0.45">
      <c r="A346" s="17">
        <v>96</v>
      </c>
      <c r="B346" s="17" t="s">
        <v>660</v>
      </c>
      <c r="C346" s="17" t="s">
        <v>660</v>
      </c>
      <c r="D346" s="17" t="s">
        <v>983</v>
      </c>
      <c r="E346" s="17" t="s">
        <v>654</v>
      </c>
      <c r="H346" s="18" t="s">
        <v>984</v>
      </c>
      <c r="I346" s="18"/>
      <c r="J346" s="17" t="s">
        <v>56</v>
      </c>
      <c r="K346" s="18"/>
      <c r="L346" s="18" t="s">
        <v>616</v>
      </c>
      <c r="M346" s="36" t="s">
        <v>617</v>
      </c>
      <c r="N346" s="36"/>
      <c r="O346" s="39"/>
      <c r="P346" s="18"/>
      <c r="Q346" s="18" t="s">
        <v>985</v>
      </c>
      <c r="S346" s="18"/>
    </row>
    <row r="347" spans="1:19" s="17" customFormat="1" ht="85.5" x14ac:dyDescent="0.45">
      <c r="A347" s="17">
        <v>101</v>
      </c>
      <c r="B347" s="17" t="s">
        <v>660</v>
      </c>
      <c r="C347" s="17" t="s">
        <v>660</v>
      </c>
      <c r="D347" s="17" t="s">
        <v>986</v>
      </c>
      <c r="E347" s="17" t="s">
        <v>654</v>
      </c>
      <c r="H347" s="18" t="s">
        <v>987</v>
      </c>
      <c r="I347" s="18"/>
      <c r="J347" s="17" t="s">
        <v>56</v>
      </c>
      <c r="K347" s="18"/>
      <c r="L347" s="18" t="s">
        <v>832</v>
      </c>
      <c r="M347" s="29" t="s">
        <v>833</v>
      </c>
      <c r="N347" s="29"/>
      <c r="O347" s="42"/>
      <c r="P347" s="18" t="s">
        <v>988</v>
      </c>
      <c r="Q347" s="18" t="s">
        <v>989</v>
      </c>
      <c r="S347" s="18" t="s">
        <v>990</v>
      </c>
    </row>
    <row r="348" spans="1:19" s="17" customFormat="1" ht="85.5" x14ac:dyDescent="0.45">
      <c r="A348" s="17">
        <v>102</v>
      </c>
      <c r="B348" s="17" t="s">
        <v>660</v>
      </c>
      <c r="C348" s="17" t="s">
        <v>660</v>
      </c>
      <c r="D348" s="17" t="s">
        <v>991</v>
      </c>
      <c r="E348" s="17" t="s">
        <v>654</v>
      </c>
      <c r="H348" s="18" t="s">
        <v>992</v>
      </c>
      <c r="I348" s="18"/>
      <c r="J348" s="17" t="s">
        <v>56</v>
      </c>
      <c r="K348" s="18"/>
      <c r="L348" s="18" t="s">
        <v>869</v>
      </c>
      <c r="M348" s="18" t="s">
        <v>807</v>
      </c>
      <c r="N348" s="18"/>
      <c r="P348" s="18"/>
      <c r="Q348" s="18" t="s">
        <v>869</v>
      </c>
      <c r="S348" s="18"/>
    </row>
    <row r="349" spans="1:19" s="17" customFormat="1" ht="85.5" hidden="1" x14ac:dyDescent="0.45">
      <c r="A349" s="17">
        <v>64</v>
      </c>
      <c r="B349" s="17" t="s">
        <v>652</v>
      </c>
      <c r="C349" s="17" t="s">
        <v>652</v>
      </c>
      <c r="D349" s="17" t="s">
        <v>897</v>
      </c>
      <c r="E349" s="17" t="s">
        <v>654</v>
      </c>
      <c r="H349" s="18" t="s">
        <v>898</v>
      </c>
      <c r="I349" s="18"/>
      <c r="J349" s="17" t="s">
        <v>56</v>
      </c>
      <c r="K349" s="18"/>
      <c r="L349" s="18" t="s">
        <v>687</v>
      </c>
      <c r="M349" s="18"/>
      <c r="N349" s="18"/>
      <c r="P349" s="18"/>
      <c r="Q349" s="18"/>
      <c r="S349" s="18"/>
    </row>
    <row r="350" spans="1:19" s="17" customFormat="1" ht="156.75" hidden="1" x14ac:dyDescent="0.45">
      <c r="A350" s="17">
        <v>65</v>
      </c>
      <c r="B350" s="17" t="s">
        <v>652</v>
      </c>
      <c r="C350" s="17" t="s">
        <v>652</v>
      </c>
      <c r="D350" s="17" t="s">
        <v>899</v>
      </c>
      <c r="E350" s="17" t="s">
        <v>654</v>
      </c>
      <c r="H350" s="18" t="s">
        <v>900</v>
      </c>
      <c r="I350" s="18"/>
      <c r="J350" s="17" t="s">
        <v>901</v>
      </c>
      <c r="K350" s="18"/>
      <c r="L350" s="18" t="s">
        <v>687</v>
      </c>
      <c r="M350" s="18"/>
      <c r="N350" s="18"/>
      <c r="P350" s="18"/>
      <c r="Q350" s="18"/>
      <c r="S350" s="18"/>
    </row>
    <row r="351" spans="1:19" s="17" customFormat="1" ht="57" x14ac:dyDescent="0.45">
      <c r="A351" s="17">
        <v>107</v>
      </c>
      <c r="B351" s="17" t="s">
        <v>660</v>
      </c>
      <c r="C351" s="17" t="s">
        <v>660</v>
      </c>
      <c r="D351" s="17" t="s">
        <v>1006</v>
      </c>
      <c r="E351" s="17" t="s">
        <v>654</v>
      </c>
      <c r="H351" s="18" t="s">
        <v>1007</v>
      </c>
      <c r="I351" s="18"/>
      <c r="J351" s="17" t="s">
        <v>56</v>
      </c>
      <c r="K351" s="18"/>
      <c r="L351" s="18" t="s">
        <v>776</v>
      </c>
      <c r="M351" s="36" t="s">
        <v>617</v>
      </c>
      <c r="N351" s="36"/>
      <c r="O351" s="39"/>
      <c r="P351" s="18"/>
      <c r="Q351" s="18" t="s">
        <v>1008</v>
      </c>
      <c r="S351" s="18"/>
    </row>
    <row r="352" spans="1:19" s="17" customFormat="1" ht="71.25" hidden="1" x14ac:dyDescent="0.45">
      <c r="A352" s="17">
        <v>67</v>
      </c>
      <c r="B352" s="17" t="s">
        <v>652</v>
      </c>
      <c r="C352" s="17" t="s">
        <v>652</v>
      </c>
      <c r="D352" s="17" t="s">
        <v>907</v>
      </c>
      <c r="E352" s="17" t="s">
        <v>654</v>
      </c>
      <c r="H352" s="18" t="s">
        <v>908</v>
      </c>
      <c r="I352" s="18"/>
      <c r="K352" s="18"/>
      <c r="L352" s="18" t="s">
        <v>687</v>
      </c>
      <c r="M352" s="36"/>
      <c r="N352" s="36"/>
      <c r="O352" s="39"/>
      <c r="P352" s="18"/>
      <c r="Q352" s="18"/>
      <c r="S352" s="18"/>
    </row>
    <row r="353" spans="1:30" s="17" customFormat="1" ht="185.25" x14ac:dyDescent="0.45">
      <c r="A353" s="17">
        <v>10</v>
      </c>
      <c r="B353" s="17" t="s">
        <v>663</v>
      </c>
      <c r="C353" s="17" t="s">
        <v>664</v>
      </c>
      <c r="D353" s="17" t="s">
        <v>665</v>
      </c>
      <c r="E353" s="17" t="s">
        <v>654</v>
      </c>
      <c r="H353" s="18" t="s">
        <v>666</v>
      </c>
      <c r="I353" s="18"/>
      <c r="J353" s="17" t="s">
        <v>56</v>
      </c>
      <c r="K353" s="18" t="s">
        <v>667</v>
      </c>
      <c r="L353" s="18" t="s">
        <v>668</v>
      </c>
      <c r="M353" s="18"/>
      <c r="N353" s="18"/>
      <c r="P353" s="18" t="s">
        <v>669</v>
      </c>
      <c r="Q353" s="18"/>
      <c r="S353" s="18" t="s">
        <v>670</v>
      </c>
    </row>
    <row r="354" spans="1:30" s="17" customFormat="1" ht="42.75" x14ac:dyDescent="0.45">
      <c r="A354" s="17">
        <v>15</v>
      </c>
      <c r="B354" s="17" t="s">
        <v>652</v>
      </c>
      <c r="C354" s="17" t="s">
        <v>694</v>
      </c>
      <c r="D354" s="17" t="s">
        <v>695</v>
      </c>
      <c r="E354" s="17" t="s">
        <v>654</v>
      </c>
      <c r="H354" s="18" t="s">
        <v>696</v>
      </c>
      <c r="I354" s="18"/>
      <c r="J354" s="17" t="s">
        <v>697</v>
      </c>
      <c r="K354" s="18" t="s">
        <v>698</v>
      </c>
      <c r="L354" s="18"/>
      <c r="M354" s="18"/>
      <c r="N354" s="18"/>
      <c r="P354" s="18"/>
      <c r="Q354" s="17" t="s">
        <v>699</v>
      </c>
      <c r="R354" s="17" t="s">
        <v>699</v>
      </c>
      <c r="S354" s="18" t="s">
        <v>700</v>
      </c>
    </row>
    <row r="355" spans="1:30" s="17" customFormat="1" ht="171" hidden="1" x14ac:dyDescent="0.45">
      <c r="A355" s="17">
        <v>70</v>
      </c>
      <c r="B355" s="17" t="s">
        <v>652</v>
      </c>
      <c r="C355" s="17" t="s">
        <v>652</v>
      </c>
      <c r="D355" s="17" t="s">
        <v>918</v>
      </c>
      <c r="E355" s="17" t="s">
        <v>654</v>
      </c>
      <c r="H355" s="18" t="s">
        <v>919</v>
      </c>
      <c r="I355" s="18"/>
      <c r="J355" s="17" t="s">
        <v>56</v>
      </c>
      <c r="K355" s="18" t="s">
        <v>920</v>
      </c>
      <c r="L355" s="18"/>
      <c r="M355" s="18"/>
      <c r="N355" s="18"/>
      <c r="O355" s="17" t="s">
        <v>660</v>
      </c>
      <c r="P355" s="18"/>
      <c r="Q355" s="18"/>
      <c r="S355" s="18"/>
    </row>
    <row r="356" spans="1:30" s="17" customFormat="1" ht="85.5" x14ac:dyDescent="0.45">
      <c r="A356" s="17">
        <v>16</v>
      </c>
      <c r="B356" s="17" t="s">
        <v>652</v>
      </c>
      <c r="C356" s="17" t="s">
        <v>694</v>
      </c>
      <c r="D356" s="17" t="s">
        <v>701</v>
      </c>
      <c r="E356" s="17" t="s">
        <v>654</v>
      </c>
      <c r="H356" s="18" t="s">
        <v>702</v>
      </c>
      <c r="I356" s="18"/>
      <c r="J356" s="17" t="s">
        <v>56</v>
      </c>
      <c r="K356" s="18"/>
      <c r="L356" s="18" t="s">
        <v>703</v>
      </c>
      <c r="M356" s="36" t="s">
        <v>704</v>
      </c>
      <c r="N356" s="36"/>
      <c r="O356" s="39"/>
      <c r="P356" s="18"/>
      <c r="Q356" s="72" t="s">
        <v>705</v>
      </c>
      <c r="S356" s="18" t="s">
        <v>700</v>
      </c>
    </row>
    <row r="357" spans="1:30" s="17" customFormat="1" ht="99.75" x14ac:dyDescent="0.45">
      <c r="A357" s="17">
        <v>17</v>
      </c>
      <c r="B357" s="17" t="s">
        <v>652</v>
      </c>
      <c r="C357" s="17" t="s">
        <v>694</v>
      </c>
      <c r="D357" s="17" t="s">
        <v>706</v>
      </c>
      <c r="E357" s="17" t="s">
        <v>654</v>
      </c>
      <c r="H357" s="18" t="s">
        <v>707</v>
      </c>
      <c r="I357" s="18"/>
      <c r="J357" s="17" t="s">
        <v>708</v>
      </c>
      <c r="K357" s="18" t="s">
        <v>709</v>
      </c>
      <c r="L357" s="37" t="s">
        <v>705</v>
      </c>
      <c r="M357" s="36" t="s">
        <v>710</v>
      </c>
      <c r="N357" s="36"/>
      <c r="O357" s="39"/>
      <c r="P357" s="18"/>
      <c r="Q357" s="18" t="s">
        <v>711</v>
      </c>
      <c r="S357" s="18" t="s">
        <v>712</v>
      </c>
    </row>
    <row r="358" spans="1:30" s="17" customFormat="1" ht="28.5" x14ac:dyDescent="0.45">
      <c r="A358" s="17">
        <v>18</v>
      </c>
      <c r="B358" s="17" t="s">
        <v>652</v>
      </c>
      <c r="C358" s="17" t="s">
        <v>694</v>
      </c>
      <c r="D358" s="17" t="s">
        <v>713</v>
      </c>
      <c r="E358" s="17" t="s">
        <v>654</v>
      </c>
      <c r="H358" s="18" t="s">
        <v>714</v>
      </c>
      <c r="I358" s="18"/>
      <c r="J358" s="17" t="s">
        <v>715</v>
      </c>
      <c r="K358" s="18" t="s">
        <v>716</v>
      </c>
      <c r="L358" s="18"/>
      <c r="M358" s="36" t="s">
        <v>717</v>
      </c>
      <c r="N358" s="36"/>
      <c r="O358" s="39"/>
      <c r="P358" s="18"/>
      <c r="Q358" s="74" t="s">
        <v>718</v>
      </c>
      <c r="S358" s="18"/>
    </row>
    <row r="359" spans="1:30" s="17" customFormat="1" ht="85.5" x14ac:dyDescent="0.45">
      <c r="A359" s="17">
        <v>24</v>
      </c>
      <c r="B359" s="17" t="s">
        <v>652</v>
      </c>
      <c r="C359" s="17" t="s">
        <v>694</v>
      </c>
      <c r="D359" s="17" t="s">
        <v>748</v>
      </c>
      <c r="E359" s="17" t="s">
        <v>654</v>
      </c>
      <c r="H359" s="18" t="s">
        <v>749</v>
      </c>
      <c r="I359" s="18"/>
      <c r="J359" s="17" t="s">
        <v>56</v>
      </c>
      <c r="K359" s="18"/>
      <c r="L359" s="18"/>
      <c r="M359" s="18"/>
      <c r="N359" s="18"/>
      <c r="P359" s="18" t="s">
        <v>750</v>
      </c>
      <c r="Q359" s="18"/>
      <c r="S359" s="18" t="s">
        <v>751</v>
      </c>
    </row>
    <row r="360" spans="1:30" s="17" customFormat="1" ht="57" hidden="1" x14ac:dyDescent="0.45">
      <c r="A360" s="17">
        <v>81</v>
      </c>
      <c r="B360" s="17" t="s">
        <v>652</v>
      </c>
      <c r="C360" s="17" t="s">
        <v>652</v>
      </c>
      <c r="D360" s="17" t="s">
        <v>938</v>
      </c>
      <c r="E360" s="17" t="s">
        <v>654</v>
      </c>
      <c r="H360" s="18" t="s">
        <v>939</v>
      </c>
      <c r="I360" s="18"/>
      <c r="J360" s="17" t="s">
        <v>56</v>
      </c>
      <c r="K360" s="18"/>
      <c r="L360" s="18" t="s">
        <v>687</v>
      </c>
      <c r="M360" s="18"/>
      <c r="N360" s="18"/>
      <c r="P360" s="18"/>
      <c r="Q360" s="18" t="s">
        <v>786</v>
      </c>
      <c r="S360" s="18" t="s">
        <v>940</v>
      </c>
    </row>
    <row r="361" spans="1:30" s="17" customFormat="1" ht="85.5" x14ac:dyDescent="0.45">
      <c r="A361" s="17">
        <v>25</v>
      </c>
      <c r="B361" s="17" t="s">
        <v>652</v>
      </c>
      <c r="C361" s="17" t="s">
        <v>660</v>
      </c>
      <c r="D361" s="17" t="s">
        <v>752</v>
      </c>
      <c r="E361" s="17" t="s">
        <v>654</v>
      </c>
      <c r="H361" s="18" t="s">
        <v>753</v>
      </c>
      <c r="I361" s="18"/>
      <c r="J361" s="17" t="s">
        <v>56</v>
      </c>
      <c r="K361" s="18"/>
      <c r="L361" s="18" t="s">
        <v>734</v>
      </c>
      <c r="M361" s="36" t="s">
        <v>733</v>
      </c>
      <c r="N361" s="36" t="s">
        <v>754</v>
      </c>
      <c r="O361" s="39"/>
      <c r="P361" s="18" t="s">
        <v>755</v>
      </c>
      <c r="Q361" s="18" t="s">
        <v>756</v>
      </c>
      <c r="S361" s="18" t="s">
        <v>757</v>
      </c>
    </row>
    <row r="362" spans="1:30" s="17" customFormat="1" ht="99.75" x14ac:dyDescent="0.45">
      <c r="A362" s="17">
        <v>27</v>
      </c>
      <c r="B362" s="17" t="s">
        <v>652</v>
      </c>
      <c r="C362" s="17" t="s">
        <v>660</v>
      </c>
      <c r="D362" s="17" t="s">
        <v>40</v>
      </c>
      <c r="E362" s="17" t="s">
        <v>654</v>
      </c>
      <c r="H362" s="18" t="s">
        <v>764</v>
      </c>
      <c r="I362" s="18"/>
      <c r="J362" s="17" t="s">
        <v>56</v>
      </c>
      <c r="K362" s="18"/>
      <c r="L362" s="18"/>
      <c r="M362" s="18"/>
      <c r="N362" s="18"/>
      <c r="P362" s="18" t="s">
        <v>750</v>
      </c>
      <c r="Q362" s="18"/>
      <c r="S362" s="18" t="s">
        <v>765</v>
      </c>
    </row>
    <row r="363" spans="1:30" s="17" customFormat="1" ht="213.75" hidden="1" x14ac:dyDescent="0.45">
      <c r="A363" s="17">
        <v>86</v>
      </c>
      <c r="B363" s="17" t="s">
        <v>652</v>
      </c>
      <c r="C363" s="17" t="s">
        <v>652</v>
      </c>
      <c r="D363" s="17" t="s">
        <v>951</v>
      </c>
      <c r="E363" s="17" t="s">
        <v>654</v>
      </c>
      <c r="H363" s="18" t="s">
        <v>952</v>
      </c>
      <c r="I363" s="18"/>
      <c r="J363" s="17" t="s">
        <v>56</v>
      </c>
      <c r="K363" s="18"/>
      <c r="L363" s="18"/>
      <c r="M363" s="18"/>
      <c r="N363" s="18"/>
      <c r="O363" s="17" t="s">
        <v>660</v>
      </c>
      <c r="P363" s="18"/>
      <c r="Q363" s="18"/>
      <c r="S363" s="18"/>
    </row>
    <row r="364" spans="1:30" s="17" customFormat="1" ht="185.25" hidden="1" x14ac:dyDescent="0.45">
      <c r="A364" s="17">
        <v>87</v>
      </c>
      <c r="B364" s="17" t="s">
        <v>652</v>
      </c>
      <c r="C364" s="17" t="s">
        <v>652</v>
      </c>
      <c r="D364" s="17" t="s">
        <v>953</v>
      </c>
      <c r="E364" s="17" t="s">
        <v>654</v>
      </c>
      <c r="H364" s="18" t="s">
        <v>954</v>
      </c>
      <c r="I364" s="18"/>
      <c r="J364" s="17" t="s">
        <v>56</v>
      </c>
      <c r="K364" s="18"/>
      <c r="L364" s="18" t="s">
        <v>955</v>
      </c>
      <c r="M364" s="18"/>
      <c r="N364" s="18"/>
      <c r="O364" s="17" t="s">
        <v>660</v>
      </c>
      <c r="P364" s="18" t="s">
        <v>956</v>
      </c>
      <c r="Q364" s="18"/>
      <c r="S364" s="18"/>
    </row>
    <row r="365" spans="1:30" s="17" customFormat="1" ht="42.75" x14ac:dyDescent="0.45">
      <c r="A365" s="17">
        <v>30</v>
      </c>
      <c r="B365" s="17" t="s">
        <v>652</v>
      </c>
      <c r="C365" s="17" t="s">
        <v>660</v>
      </c>
      <c r="D365" s="17" t="s">
        <v>774</v>
      </c>
      <c r="E365" s="17" t="s">
        <v>654</v>
      </c>
      <c r="H365" s="18" t="s">
        <v>775</v>
      </c>
      <c r="I365" s="18"/>
      <c r="K365" s="18"/>
      <c r="L365" s="18" t="s">
        <v>776</v>
      </c>
      <c r="M365" s="30" t="s">
        <v>617</v>
      </c>
      <c r="N365" s="30"/>
      <c r="O365" s="41"/>
      <c r="P365" s="18" t="s">
        <v>777</v>
      </c>
      <c r="Q365" s="18" t="s">
        <v>778</v>
      </c>
      <c r="S365" s="18" t="s">
        <v>779</v>
      </c>
    </row>
    <row r="366" spans="1:30" s="48" customFormat="1" ht="228" x14ac:dyDescent="0.45">
      <c r="A366" s="17">
        <v>41</v>
      </c>
      <c r="B366" s="17" t="s">
        <v>652</v>
      </c>
      <c r="C366" s="17" t="s">
        <v>815</v>
      </c>
      <c r="D366" s="17" t="s">
        <v>816</v>
      </c>
      <c r="E366" s="17" t="s">
        <v>654</v>
      </c>
      <c r="F366" s="17"/>
      <c r="G366" s="17"/>
      <c r="H366" s="18" t="s">
        <v>817</v>
      </c>
      <c r="I366" s="18"/>
      <c r="J366" s="17" t="s">
        <v>818</v>
      </c>
      <c r="K366" s="18"/>
      <c r="L366" s="18" t="s">
        <v>687</v>
      </c>
      <c r="M366" s="36"/>
      <c r="N366" s="36"/>
      <c r="O366" s="39"/>
      <c r="P366" s="18"/>
      <c r="Q366" s="18"/>
      <c r="R366" s="17"/>
      <c r="S366" s="18" t="s">
        <v>819</v>
      </c>
      <c r="T366" s="50"/>
      <c r="U366" s="50"/>
      <c r="V366" s="50"/>
      <c r="W366" s="50"/>
      <c r="X366" s="50"/>
      <c r="Y366" s="50"/>
      <c r="Z366" s="50"/>
      <c r="AA366" s="50"/>
      <c r="AB366" s="50"/>
      <c r="AC366" s="50"/>
      <c r="AD366" s="50"/>
    </row>
    <row r="367" spans="1:30" s="17" customFormat="1" ht="71.25" hidden="1" x14ac:dyDescent="0.45">
      <c r="A367" s="17">
        <v>90</v>
      </c>
      <c r="B367" s="17" t="s">
        <v>652</v>
      </c>
      <c r="C367" s="17" t="s">
        <v>652</v>
      </c>
      <c r="D367" s="17" t="s">
        <v>968</v>
      </c>
      <c r="E367" s="17" t="s">
        <v>654</v>
      </c>
      <c r="H367" s="18" t="s">
        <v>969</v>
      </c>
      <c r="I367" s="18"/>
      <c r="J367" s="17" t="s">
        <v>56</v>
      </c>
      <c r="K367" s="18"/>
      <c r="L367" s="18" t="s">
        <v>687</v>
      </c>
      <c r="M367" s="18"/>
      <c r="N367" s="18"/>
      <c r="P367" s="18"/>
      <c r="Q367" s="18" t="s">
        <v>786</v>
      </c>
      <c r="S367" s="18" t="s">
        <v>970</v>
      </c>
    </row>
    <row r="368" spans="1:30" s="17" customFormat="1" ht="42.75" hidden="1" x14ac:dyDescent="0.45">
      <c r="A368" s="17">
        <v>91</v>
      </c>
      <c r="B368" s="17" t="s">
        <v>652</v>
      </c>
      <c r="C368" s="17" t="s">
        <v>652</v>
      </c>
      <c r="D368" s="17" t="s">
        <v>971</v>
      </c>
      <c r="E368" s="17" t="s">
        <v>654</v>
      </c>
      <c r="H368" s="18" t="s">
        <v>972</v>
      </c>
      <c r="I368" s="18"/>
      <c r="J368" s="17" t="s">
        <v>56</v>
      </c>
      <c r="K368" s="18"/>
      <c r="L368" s="18" t="s">
        <v>687</v>
      </c>
      <c r="M368" s="18"/>
      <c r="N368" s="18"/>
      <c r="P368" s="18"/>
      <c r="Q368" s="18"/>
      <c r="S368" s="18"/>
    </row>
    <row r="369" spans="1:19" s="17" customFormat="1" ht="128.25" x14ac:dyDescent="0.45">
      <c r="A369" s="17">
        <v>48</v>
      </c>
      <c r="B369" s="17" t="s">
        <v>652</v>
      </c>
      <c r="C369" s="17" t="s">
        <v>694</v>
      </c>
      <c r="D369" s="17" t="s">
        <v>847</v>
      </c>
      <c r="E369" s="17" t="s">
        <v>654</v>
      </c>
      <c r="H369" s="18" t="s">
        <v>848</v>
      </c>
      <c r="I369" s="18"/>
      <c r="J369" s="17" t="s">
        <v>56</v>
      </c>
      <c r="K369" s="18"/>
      <c r="L369" s="18" t="s">
        <v>687</v>
      </c>
      <c r="M369" s="18"/>
      <c r="N369" s="18"/>
      <c r="O369" s="17" t="s">
        <v>660</v>
      </c>
      <c r="P369" s="18"/>
      <c r="Q369" s="18" t="s">
        <v>849</v>
      </c>
      <c r="S369" s="18" t="s">
        <v>850</v>
      </c>
    </row>
    <row r="370" spans="1:19" s="17" customFormat="1" ht="42.75" hidden="1" x14ac:dyDescent="0.45">
      <c r="A370" s="17">
        <v>93</v>
      </c>
      <c r="B370" s="17" t="s">
        <v>652</v>
      </c>
      <c r="C370" s="17" t="s">
        <v>652</v>
      </c>
      <c r="D370" s="17" t="s">
        <v>976</v>
      </c>
      <c r="E370" s="17" t="s">
        <v>654</v>
      </c>
      <c r="H370" s="18" t="s">
        <v>977</v>
      </c>
      <c r="I370" s="18"/>
      <c r="K370" s="18"/>
      <c r="L370" s="18" t="s">
        <v>687</v>
      </c>
      <c r="M370" s="36"/>
      <c r="N370" s="36"/>
      <c r="O370" s="39" t="s">
        <v>660</v>
      </c>
      <c r="P370" s="18"/>
      <c r="Q370" s="18"/>
      <c r="S370" s="18"/>
    </row>
    <row r="371" spans="1:19" s="17" customFormat="1" ht="71.25" hidden="1" x14ac:dyDescent="0.45">
      <c r="A371" s="17">
        <v>94</v>
      </c>
      <c r="B371" s="17" t="s">
        <v>652</v>
      </c>
      <c r="C371" s="17" t="s">
        <v>652</v>
      </c>
      <c r="D371" s="17" t="s">
        <v>978</v>
      </c>
      <c r="E371" s="17" t="s">
        <v>654</v>
      </c>
      <c r="H371" s="18" t="s">
        <v>979</v>
      </c>
      <c r="I371" s="18"/>
      <c r="J371" s="17" t="s">
        <v>980</v>
      </c>
      <c r="K371" s="18"/>
      <c r="L371" s="18" t="s">
        <v>687</v>
      </c>
      <c r="M371" s="36"/>
      <c r="N371" s="36"/>
      <c r="O371" s="39"/>
      <c r="P371" s="18"/>
      <c r="Q371" s="18"/>
      <c r="S371" s="18"/>
    </row>
    <row r="372" spans="1:19" s="17" customFormat="1" ht="42.75" hidden="1" x14ac:dyDescent="0.45">
      <c r="A372" s="17">
        <v>95</v>
      </c>
      <c r="B372" s="17" t="s">
        <v>652</v>
      </c>
      <c r="C372" s="17" t="s">
        <v>652</v>
      </c>
      <c r="D372" s="17" t="s">
        <v>981</v>
      </c>
      <c r="E372" s="17" t="s">
        <v>654</v>
      </c>
      <c r="H372" s="18" t="s">
        <v>982</v>
      </c>
      <c r="I372" s="18"/>
      <c r="J372" s="17" t="s">
        <v>56</v>
      </c>
      <c r="K372" s="18"/>
      <c r="L372" s="18" t="s">
        <v>687</v>
      </c>
      <c r="M372" s="18"/>
      <c r="N372" s="18"/>
      <c r="P372" s="18"/>
      <c r="Q372" s="18"/>
      <c r="S372" s="18"/>
    </row>
    <row r="373" spans="1:19" s="17" customFormat="1" ht="99.75" x14ac:dyDescent="0.45">
      <c r="A373" s="17">
        <v>57</v>
      </c>
      <c r="B373" s="17" t="s">
        <v>663</v>
      </c>
      <c r="C373" s="17" t="s">
        <v>660</v>
      </c>
      <c r="D373" s="17" t="s">
        <v>876</v>
      </c>
      <c r="E373" s="17" t="s">
        <v>654</v>
      </c>
      <c r="H373" s="18" t="s">
        <v>877</v>
      </c>
      <c r="I373" s="18"/>
      <c r="J373" s="17" t="s">
        <v>56</v>
      </c>
      <c r="K373" s="18"/>
      <c r="L373" s="18"/>
      <c r="M373" s="18"/>
      <c r="N373" s="18"/>
      <c r="P373" s="18" t="s">
        <v>878</v>
      </c>
      <c r="Q373" s="18" t="s">
        <v>879</v>
      </c>
      <c r="S373" s="18" t="s">
        <v>880</v>
      </c>
    </row>
    <row r="374" spans="1:19" s="17" customFormat="1" ht="28.5" x14ac:dyDescent="0.45">
      <c r="A374" s="17">
        <v>61</v>
      </c>
      <c r="B374" s="17" t="s">
        <v>663</v>
      </c>
      <c r="C374" s="17" t="s">
        <v>694</v>
      </c>
      <c r="D374" s="17" t="s">
        <v>434</v>
      </c>
      <c r="E374" s="17" t="s">
        <v>654</v>
      </c>
      <c r="H374" s="18" t="s">
        <v>890</v>
      </c>
      <c r="I374" s="18"/>
      <c r="J374" s="17" t="s">
        <v>56</v>
      </c>
      <c r="K374" s="18"/>
      <c r="L374" s="18"/>
      <c r="M374" s="18"/>
      <c r="N374" s="18"/>
      <c r="O374" s="17" t="s">
        <v>660</v>
      </c>
      <c r="P374" s="18"/>
      <c r="Q374" s="18"/>
      <c r="S374" s="18"/>
    </row>
    <row r="375" spans="1:19" s="17" customFormat="1" ht="85.5" x14ac:dyDescent="0.45">
      <c r="A375" s="17">
        <v>63</v>
      </c>
      <c r="B375" s="17" t="s">
        <v>652</v>
      </c>
      <c r="C375" s="17" t="s">
        <v>660</v>
      </c>
      <c r="D375" s="17" t="s">
        <v>893</v>
      </c>
      <c r="E375" s="17" t="s">
        <v>654</v>
      </c>
      <c r="H375" s="18" t="s">
        <v>894</v>
      </c>
      <c r="I375" s="18"/>
      <c r="J375" s="17" t="s">
        <v>56</v>
      </c>
      <c r="K375" s="18" t="s">
        <v>895</v>
      </c>
      <c r="L375" s="18"/>
      <c r="M375" s="36"/>
      <c r="N375" s="36"/>
      <c r="O375" s="39"/>
      <c r="P375" s="18"/>
      <c r="Q375" s="18" t="s">
        <v>773</v>
      </c>
      <c r="S375" s="18" t="s">
        <v>896</v>
      </c>
    </row>
    <row r="376" spans="1:19" s="17" customFormat="1" ht="199.5" hidden="1" x14ac:dyDescent="0.45">
      <c r="A376" s="17">
        <v>103</v>
      </c>
      <c r="B376" s="17" t="s">
        <v>652</v>
      </c>
      <c r="C376" s="17" t="s">
        <v>652</v>
      </c>
      <c r="D376" s="17" t="s">
        <v>993</v>
      </c>
      <c r="E376" s="17" t="s">
        <v>654</v>
      </c>
      <c r="H376" s="18" t="s">
        <v>994</v>
      </c>
      <c r="I376" s="18"/>
      <c r="J376" s="17" t="s">
        <v>56</v>
      </c>
      <c r="K376" s="18" t="s">
        <v>995</v>
      </c>
      <c r="L376" s="18" t="s">
        <v>687</v>
      </c>
      <c r="M376" s="18"/>
      <c r="N376" s="18"/>
      <c r="P376" s="18"/>
      <c r="Q376" s="18"/>
      <c r="S376" s="18"/>
    </row>
    <row r="377" spans="1:19" s="17" customFormat="1" ht="71.25" hidden="1" x14ac:dyDescent="0.45">
      <c r="A377" s="17">
        <v>104</v>
      </c>
      <c r="B377" s="17" t="s">
        <v>652</v>
      </c>
      <c r="C377" s="17" t="s">
        <v>652</v>
      </c>
      <c r="D377" s="17" t="s">
        <v>996</v>
      </c>
      <c r="E377" s="17" t="s">
        <v>654</v>
      </c>
      <c r="H377" s="18" t="s">
        <v>997</v>
      </c>
      <c r="I377" s="18"/>
      <c r="J377" s="17" t="s">
        <v>56</v>
      </c>
      <c r="K377" s="25" t="s">
        <v>998</v>
      </c>
      <c r="L377" s="18" t="s">
        <v>687</v>
      </c>
      <c r="M377" s="18" t="s">
        <v>999</v>
      </c>
      <c r="N377" s="18"/>
      <c r="P377" s="18"/>
      <c r="Q377" s="18"/>
      <c r="S377" s="18"/>
    </row>
    <row r="378" spans="1:19" s="17" customFormat="1" ht="114" hidden="1" x14ac:dyDescent="0.45">
      <c r="A378" s="17">
        <v>105</v>
      </c>
      <c r="B378" s="17" t="s">
        <v>652</v>
      </c>
      <c r="C378" s="17" t="s">
        <v>652</v>
      </c>
      <c r="D378" s="17" t="s">
        <v>1000</v>
      </c>
      <c r="E378" s="17" t="s">
        <v>654</v>
      </c>
      <c r="H378" s="18" t="s">
        <v>1001</v>
      </c>
      <c r="I378" s="18"/>
      <c r="J378" s="17" t="s">
        <v>56</v>
      </c>
      <c r="K378" s="18" t="s">
        <v>1002</v>
      </c>
      <c r="L378" s="48"/>
      <c r="M378" s="36" t="s">
        <v>733</v>
      </c>
      <c r="N378" s="18" t="s">
        <v>734</v>
      </c>
      <c r="O378" s="39"/>
      <c r="P378" s="18" t="s">
        <v>1003</v>
      </c>
      <c r="Q378" s="18"/>
      <c r="S378" s="18"/>
    </row>
    <row r="379" spans="1:19" s="17" customFormat="1" ht="128.25" hidden="1" x14ac:dyDescent="0.45">
      <c r="A379" s="17">
        <v>106</v>
      </c>
      <c r="B379" s="17" t="s">
        <v>652</v>
      </c>
      <c r="C379" s="17" t="s">
        <v>652</v>
      </c>
      <c r="D379" s="17" t="s">
        <v>1004</v>
      </c>
      <c r="E379" s="17" t="s">
        <v>654</v>
      </c>
      <c r="H379" s="18" t="s">
        <v>1005</v>
      </c>
      <c r="I379" s="18"/>
      <c r="J379" s="17" t="s">
        <v>56</v>
      </c>
      <c r="K379" s="18"/>
      <c r="L379" s="18"/>
      <c r="M379" s="18"/>
      <c r="N379" s="18"/>
      <c r="P379" s="18" t="s">
        <v>750</v>
      </c>
      <c r="Q379" s="18"/>
      <c r="S379" s="18"/>
    </row>
    <row r="380" spans="1:19" s="17" customFormat="1" ht="71.25" x14ac:dyDescent="0.45">
      <c r="A380" s="48">
        <v>89</v>
      </c>
      <c r="B380" s="48" t="s">
        <v>652</v>
      </c>
      <c r="C380" s="48" t="s">
        <v>694</v>
      </c>
      <c r="D380" s="48" t="s">
        <v>963</v>
      </c>
      <c r="E380" s="48" t="s">
        <v>654</v>
      </c>
      <c r="H380" s="49" t="s">
        <v>964</v>
      </c>
      <c r="I380" s="49"/>
      <c r="J380" s="48" t="s">
        <v>56</v>
      </c>
      <c r="K380" s="18"/>
      <c r="L380" s="49" t="s">
        <v>965</v>
      </c>
      <c r="M380" s="49"/>
      <c r="N380" s="49"/>
      <c r="O380" s="48"/>
      <c r="P380" s="49" t="s">
        <v>966</v>
      </c>
      <c r="Q380" s="49"/>
      <c r="R380" s="48"/>
      <c r="S380" s="49" t="s">
        <v>967</v>
      </c>
    </row>
    <row r="381" spans="1:19" s="17" customFormat="1" ht="171" hidden="1" x14ac:dyDescent="0.45">
      <c r="A381" s="17">
        <v>108</v>
      </c>
      <c r="B381" s="17" t="s">
        <v>652</v>
      </c>
      <c r="C381" s="17" t="s">
        <v>652</v>
      </c>
      <c r="D381" s="17" t="s">
        <v>1009</v>
      </c>
      <c r="E381" s="17" t="s">
        <v>654</v>
      </c>
      <c r="H381" s="18" t="s">
        <v>1010</v>
      </c>
      <c r="I381" s="18"/>
      <c r="J381" s="17" t="s">
        <v>56</v>
      </c>
      <c r="K381" s="18"/>
      <c r="L381" s="18" t="s">
        <v>687</v>
      </c>
      <c r="M381" s="18"/>
      <c r="N381" s="18"/>
      <c r="O381" s="17" t="s">
        <v>660</v>
      </c>
      <c r="P381" s="18"/>
      <c r="Q381" s="18"/>
      <c r="S381" s="18"/>
    </row>
    <row r="382" spans="1:19" s="17" customFormat="1" ht="185.25" hidden="1" x14ac:dyDescent="0.45">
      <c r="A382" s="17">
        <v>109</v>
      </c>
      <c r="D382" s="17" t="s">
        <v>1011</v>
      </c>
      <c r="E382" s="17" t="s">
        <v>1012</v>
      </c>
      <c r="F382" s="17" t="s">
        <v>1011</v>
      </c>
      <c r="G382" s="17" t="s">
        <v>1013</v>
      </c>
      <c r="H382" s="18" t="s">
        <v>1014</v>
      </c>
      <c r="I382" s="18"/>
      <c r="J382" s="17" t="s">
        <v>56</v>
      </c>
      <c r="M382" s="18"/>
      <c r="N382" s="18"/>
    </row>
    <row r="383" spans="1:19" s="17" customFormat="1" ht="28.5" hidden="1" x14ac:dyDescent="0.45">
      <c r="A383" s="17">
        <v>110</v>
      </c>
      <c r="D383" s="17" t="s">
        <v>1015</v>
      </c>
      <c r="E383" s="17" t="s">
        <v>1012</v>
      </c>
      <c r="F383" s="17" t="s">
        <v>1016</v>
      </c>
      <c r="G383" s="17" t="s">
        <v>567</v>
      </c>
      <c r="H383" s="18" t="s">
        <v>1017</v>
      </c>
      <c r="I383" s="18"/>
      <c r="J383" s="17" t="s">
        <v>56</v>
      </c>
      <c r="M383" s="18"/>
      <c r="N383" s="18"/>
    </row>
    <row r="384" spans="1:19" s="17" customFormat="1" ht="213.75" hidden="1" x14ac:dyDescent="0.45">
      <c r="A384" s="17">
        <v>111</v>
      </c>
      <c r="D384" s="17" t="s">
        <v>1018</v>
      </c>
      <c r="E384" s="17" t="s">
        <v>1012</v>
      </c>
      <c r="F384" s="17" t="s">
        <v>1019</v>
      </c>
      <c r="G384" s="17" t="s">
        <v>656</v>
      </c>
      <c r="H384" s="18" t="s">
        <v>1020</v>
      </c>
      <c r="I384" s="18"/>
      <c r="J384" s="17" t="s">
        <v>56</v>
      </c>
      <c r="M384" s="18"/>
      <c r="N384" s="18"/>
    </row>
    <row r="385" spans="1:15" s="17" customFormat="1" ht="85.5" hidden="1" x14ac:dyDescent="0.45">
      <c r="A385" s="17">
        <v>112</v>
      </c>
      <c r="D385" s="17" t="s">
        <v>1019</v>
      </c>
      <c r="E385" s="17" t="s">
        <v>1012</v>
      </c>
      <c r="F385" s="17" t="s">
        <v>1019</v>
      </c>
      <c r="G385" s="17" t="s">
        <v>656</v>
      </c>
      <c r="H385" s="18" t="s">
        <v>1021</v>
      </c>
      <c r="I385" s="18"/>
      <c r="J385" s="17" t="s">
        <v>56</v>
      </c>
      <c r="L385" s="17" t="s">
        <v>336</v>
      </c>
      <c r="M385" s="23" t="s">
        <v>337</v>
      </c>
      <c r="N385" s="23"/>
      <c r="O385" s="32"/>
    </row>
    <row r="386" spans="1:15" s="17" customFormat="1" ht="114" hidden="1" x14ac:dyDescent="0.45">
      <c r="A386" s="17">
        <v>113</v>
      </c>
      <c r="D386" s="17" t="s">
        <v>1022</v>
      </c>
      <c r="E386" s="17" t="s">
        <v>1012</v>
      </c>
      <c r="F386" s="17" t="s">
        <v>1023</v>
      </c>
      <c r="G386" s="17" t="s">
        <v>1024</v>
      </c>
      <c r="H386" s="18" t="s">
        <v>1025</v>
      </c>
      <c r="I386" s="18"/>
      <c r="J386" s="17" t="s">
        <v>106</v>
      </c>
      <c r="L386" s="17" t="s">
        <v>107</v>
      </c>
      <c r="M386" s="23" t="s">
        <v>108</v>
      </c>
      <c r="N386" s="23"/>
      <c r="O386" s="32"/>
    </row>
    <row r="387" spans="1:15" s="17" customFormat="1" ht="128.25" hidden="1" x14ac:dyDescent="0.45">
      <c r="A387" s="17">
        <v>114</v>
      </c>
      <c r="D387" s="17" t="s">
        <v>1026</v>
      </c>
      <c r="E387" s="17" t="s">
        <v>1012</v>
      </c>
      <c r="F387" s="17" t="s">
        <v>1027</v>
      </c>
      <c r="G387" s="17" t="s">
        <v>1013</v>
      </c>
      <c r="H387" s="18" t="s">
        <v>1028</v>
      </c>
      <c r="I387" s="18"/>
      <c r="J387" s="17" t="s">
        <v>56</v>
      </c>
      <c r="M387" s="18"/>
      <c r="N387" s="18"/>
    </row>
    <row r="388" spans="1:15" s="17" customFormat="1" ht="85.5" hidden="1" x14ac:dyDescent="0.45">
      <c r="A388" s="17">
        <v>115</v>
      </c>
      <c r="D388" s="17" t="s">
        <v>1029</v>
      </c>
      <c r="E388" s="17" t="s">
        <v>1012</v>
      </c>
      <c r="F388" s="17" t="s">
        <v>1030</v>
      </c>
      <c r="G388" s="17" t="s">
        <v>1013</v>
      </c>
      <c r="H388" s="18" t="s">
        <v>1031</v>
      </c>
      <c r="I388" s="18"/>
      <c r="J388" s="17" t="s">
        <v>56</v>
      </c>
      <c r="M388" s="18"/>
      <c r="N388" s="18"/>
    </row>
    <row r="389" spans="1:15" s="17" customFormat="1" hidden="1" x14ac:dyDescent="0.45">
      <c r="A389" s="17">
        <v>116</v>
      </c>
      <c r="D389" s="17" t="s">
        <v>1032</v>
      </c>
      <c r="E389" s="17" t="s">
        <v>1012</v>
      </c>
      <c r="F389" s="17" t="s">
        <v>1033</v>
      </c>
      <c r="G389" s="17" t="s">
        <v>1034</v>
      </c>
      <c r="H389" s="18"/>
      <c r="I389" s="18"/>
      <c r="J389" s="17" t="s">
        <v>56</v>
      </c>
      <c r="M389" s="18"/>
      <c r="N389" s="18"/>
    </row>
    <row r="390" spans="1:15" s="17" customFormat="1" ht="28.5" hidden="1" x14ac:dyDescent="0.45">
      <c r="A390" s="17">
        <v>117</v>
      </c>
      <c r="D390" s="17" t="s">
        <v>1035</v>
      </c>
      <c r="E390" s="17" t="s">
        <v>1012</v>
      </c>
      <c r="F390" s="17" t="s">
        <v>644</v>
      </c>
      <c r="G390" s="17" t="s">
        <v>567</v>
      </c>
      <c r="H390" s="18" t="s">
        <v>1036</v>
      </c>
      <c r="I390" s="18"/>
      <c r="J390" s="17" t="s">
        <v>56</v>
      </c>
      <c r="M390" s="18"/>
      <c r="N390" s="18"/>
    </row>
    <row r="391" spans="1:15" s="17" customFormat="1" ht="57" hidden="1" x14ac:dyDescent="0.45">
      <c r="A391" s="17">
        <v>118</v>
      </c>
      <c r="D391" s="17" t="s">
        <v>1037</v>
      </c>
      <c r="E391" s="17" t="s">
        <v>1012</v>
      </c>
      <c r="F391" s="17" t="s">
        <v>1023</v>
      </c>
      <c r="G391" s="17" t="s">
        <v>1024</v>
      </c>
      <c r="H391" s="18" t="s">
        <v>1038</v>
      </c>
      <c r="I391" s="18"/>
      <c r="J391" s="17" t="s">
        <v>56</v>
      </c>
      <c r="M391" s="18"/>
      <c r="N391" s="18"/>
    </row>
    <row r="392" spans="1:15" s="17" customFormat="1" ht="128.25" hidden="1" x14ac:dyDescent="0.45">
      <c r="A392" s="17">
        <v>119</v>
      </c>
      <c r="D392" s="17" t="s">
        <v>1039</v>
      </c>
      <c r="E392" s="17" t="s">
        <v>1012</v>
      </c>
      <c r="F392" s="17" t="s">
        <v>1040</v>
      </c>
      <c r="G392" s="17" t="s">
        <v>1024</v>
      </c>
      <c r="H392" s="18" t="s">
        <v>1041</v>
      </c>
      <c r="I392" s="18"/>
      <c r="J392" s="17" t="s">
        <v>56</v>
      </c>
      <c r="M392" s="18"/>
      <c r="N392" s="18"/>
    </row>
    <row r="393" spans="1:15" s="17" customFormat="1" ht="28.5" hidden="1" x14ac:dyDescent="0.45">
      <c r="A393" s="17">
        <v>120</v>
      </c>
      <c r="D393" s="17" t="s">
        <v>1042</v>
      </c>
      <c r="E393" s="17" t="s">
        <v>1012</v>
      </c>
      <c r="F393" s="17" t="s">
        <v>650</v>
      </c>
      <c r="G393" s="17" t="s">
        <v>567</v>
      </c>
      <c r="H393" s="18" t="s">
        <v>1043</v>
      </c>
      <c r="I393" s="18"/>
      <c r="J393" s="17" t="s">
        <v>56</v>
      </c>
      <c r="M393" s="18"/>
      <c r="N393" s="18"/>
    </row>
    <row r="394" spans="1:15" s="17" customFormat="1" ht="28.5" hidden="1" x14ac:dyDescent="0.45">
      <c r="A394" s="17">
        <v>121</v>
      </c>
      <c r="D394" s="17" t="s">
        <v>1044</v>
      </c>
      <c r="E394" s="17" t="s">
        <v>1012</v>
      </c>
      <c r="F394" s="17" t="s">
        <v>640</v>
      </c>
      <c r="G394" s="17" t="s">
        <v>567</v>
      </c>
      <c r="H394" s="18" t="s">
        <v>1045</v>
      </c>
      <c r="I394" s="18"/>
      <c r="J394" s="17" t="s">
        <v>56</v>
      </c>
      <c r="M394" s="18"/>
      <c r="N394" s="18"/>
    </row>
    <row r="395" spans="1:15" s="17" customFormat="1" ht="57" hidden="1" x14ac:dyDescent="0.45">
      <c r="A395" s="17">
        <v>122</v>
      </c>
      <c r="D395" s="17" t="s">
        <v>1046</v>
      </c>
      <c r="E395" s="17" t="s">
        <v>1012</v>
      </c>
      <c r="F395" s="17" t="s">
        <v>650</v>
      </c>
      <c r="G395" s="17" t="s">
        <v>567</v>
      </c>
      <c r="H395" s="18" t="s">
        <v>1047</v>
      </c>
      <c r="I395" s="18"/>
      <c r="J395" s="17" t="s">
        <v>56</v>
      </c>
      <c r="M395" s="18"/>
      <c r="N395" s="18"/>
    </row>
    <row r="396" spans="1:15" s="17" customFormat="1" ht="185.25" hidden="1" x14ac:dyDescent="0.45">
      <c r="A396" s="17">
        <v>123</v>
      </c>
      <c r="D396" s="17" t="s">
        <v>1048</v>
      </c>
      <c r="E396" s="17" t="s">
        <v>1012</v>
      </c>
      <c r="F396" s="17" t="s">
        <v>1027</v>
      </c>
      <c r="G396" s="17" t="s">
        <v>1013</v>
      </c>
      <c r="H396" s="18" t="s">
        <v>1049</v>
      </c>
      <c r="I396" s="18"/>
      <c r="J396" s="17" t="s">
        <v>56</v>
      </c>
      <c r="M396" s="18"/>
      <c r="N396" s="18"/>
    </row>
    <row r="397" spans="1:15" s="17" customFormat="1" ht="28.5" hidden="1" x14ac:dyDescent="0.45">
      <c r="A397" s="17">
        <v>124</v>
      </c>
      <c r="D397" s="17" t="s">
        <v>1050</v>
      </c>
      <c r="E397" s="17" t="s">
        <v>1012</v>
      </c>
      <c r="F397" s="17" t="s">
        <v>642</v>
      </c>
      <c r="G397" s="17" t="s">
        <v>567</v>
      </c>
      <c r="H397" s="18" t="s">
        <v>1051</v>
      </c>
      <c r="I397" s="18"/>
      <c r="J397" s="17" t="s">
        <v>56</v>
      </c>
      <c r="M397" s="18"/>
      <c r="N397" s="18"/>
    </row>
    <row r="398" spans="1:15" s="17" customFormat="1" ht="42.75" hidden="1" x14ac:dyDescent="0.45">
      <c r="A398" s="17">
        <v>125</v>
      </c>
      <c r="D398" s="17" t="s">
        <v>1052</v>
      </c>
      <c r="E398" s="17" t="s">
        <v>1012</v>
      </c>
      <c r="F398" s="17" t="s">
        <v>642</v>
      </c>
      <c r="G398" s="17" t="s">
        <v>567</v>
      </c>
      <c r="H398" s="18" t="s">
        <v>1053</v>
      </c>
      <c r="I398" s="18"/>
      <c r="J398" s="17" t="s">
        <v>56</v>
      </c>
      <c r="M398" s="18"/>
      <c r="N398" s="18"/>
    </row>
    <row r="399" spans="1:15" s="17" customFormat="1" ht="71.25" hidden="1" x14ac:dyDescent="0.45">
      <c r="A399" s="17">
        <v>126</v>
      </c>
      <c r="D399" s="17" t="s">
        <v>1054</v>
      </c>
      <c r="E399" s="17" t="s">
        <v>1012</v>
      </c>
      <c r="F399" s="17" t="s">
        <v>1054</v>
      </c>
      <c r="G399" s="17" t="s">
        <v>1055</v>
      </c>
      <c r="H399" s="18" t="s">
        <v>1056</v>
      </c>
      <c r="I399" s="18"/>
      <c r="J399" s="17" t="s">
        <v>56</v>
      </c>
      <c r="M399" s="18"/>
      <c r="N399" s="18"/>
    </row>
    <row r="400" spans="1:15" s="17" customFormat="1" ht="71.25" hidden="1" x14ac:dyDescent="0.45">
      <c r="A400" s="17">
        <v>127</v>
      </c>
      <c r="D400" s="17" t="s">
        <v>1057</v>
      </c>
      <c r="E400" s="17" t="s">
        <v>1012</v>
      </c>
      <c r="F400" s="17" t="s">
        <v>1011</v>
      </c>
      <c r="G400" s="17" t="s">
        <v>1013</v>
      </c>
      <c r="H400" s="18" t="s">
        <v>1058</v>
      </c>
      <c r="I400" s="18"/>
      <c r="J400" s="17" t="s">
        <v>56</v>
      </c>
      <c r="M400" s="18"/>
      <c r="N400" s="18"/>
    </row>
    <row r="401" spans="1:15" s="17" customFormat="1" ht="142.5" hidden="1" x14ac:dyDescent="0.45">
      <c r="A401" s="17">
        <v>128</v>
      </c>
      <c r="D401" s="17" t="s">
        <v>1059</v>
      </c>
      <c r="E401" s="17" t="s">
        <v>1012</v>
      </c>
      <c r="F401" s="17" t="s">
        <v>1059</v>
      </c>
      <c r="G401" s="17" t="s">
        <v>1060</v>
      </c>
      <c r="H401" s="18" t="s">
        <v>1061</v>
      </c>
      <c r="I401" s="18"/>
      <c r="J401" s="17" t="s">
        <v>56</v>
      </c>
      <c r="M401" s="18"/>
      <c r="N401" s="18"/>
    </row>
    <row r="402" spans="1:15" s="17" customFormat="1" ht="42.75" hidden="1" x14ac:dyDescent="0.45">
      <c r="A402" s="17">
        <v>129</v>
      </c>
      <c r="D402" s="17" t="s">
        <v>1062</v>
      </c>
      <c r="E402" s="17" t="s">
        <v>1012</v>
      </c>
      <c r="F402" s="17" t="s">
        <v>1016</v>
      </c>
      <c r="G402" s="17" t="s">
        <v>567</v>
      </c>
      <c r="H402" s="18" t="s">
        <v>1063</v>
      </c>
      <c r="I402" s="18"/>
      <c r="J402" s="17" t="s">
        <v>56</v>
      </c>
      <c r="M402" s="18"/>
      <c r="N402" s="18"/>
    </row>
    <row r="403" spans="1:15" s="17" customFormat="1" ht="270.75" hidden="1" x14ac:dyDescent="0.45">
      <c r="A403" s="17">
        <v>130</v>
      </c>
      <c r="D403" s="17" t="s">
        <v>1064</v>
      </c>
      <c r="E403" s="17" t="s">
        <v>1012</v>
      </c>
      <c r="F403" s="17" t="s">
        <v>1065</v>
      </c>
      <c r="G403" s="17" t="s">
        <v>1066</v>
      </c>
      <c r="H403" s="18" t="s">
        <v>1067</v>
      </c>
      <c r="I403" s="18"/>
      <c r="J403" s="17" t="s">
        <v>56</v>
      </c>
      <c r="M403" s="18"/>
      <c r="N403" s="18"/>
    </row>
    <row r="404" spans="1:15" s="17" customFormat="1" ht="409.5" hidden="1" x14ac:dyDescent="0.45">
      <c r="A404" s="17">
        <v>131</v>
      </c>
      <c r="D404" s="17" t="s">
        <v>1068</v>
      </c>
      <c r="E404" s="17" t="s">
        <v>1012</v>
      </c>
      <c r="F404" s="17" t="s">
        <v>1069</v>
      </c>
      <c r="G404" s="17" t="s">
        <v>1066</v>
      </c>
      <c r="H404" s="18" t="s">
        <v>1070</v>
      </c>
      <c r="I404" s="18"/>
      <c r="J404" s="17" t="s">
        <v>56</v>
      </c>
      <c r="M404" s="18"/>
      <c r="N404" s="18"/>
    </row>
    <row r="405" spans="1:15" s="17" customFormat="1" ht="171" hidden="1" x14ac:dyDescent="0.45">
      <c r="A405" s="17">
        <v>132</v>
      </c>
      <c r="D405" s="17" t="s">
        <v>1071</v>
      </c>
      <c r="E405" s="17" t="s">
        <v>1012</v>
      </c>
      <c r="F405" s="17" t="s">
        <v>1059</v>
      </c>
      <c r="G405" s="17" t="s">
        <v>1060</v>
      </c>
      <c r="H405" s="18" t="s">
        <v>1072</v>
      </c>
      <c r="I405" s="18"/>
      <c r="J405" s="17" t="s">
        <v>56</v>
      </c>
      <c r="M405" s="18"/>
      <c r="N405" s="18"/>
    </row>
    <row r="406" spans="1:15" s="17" customFormat="1" ht="199.5" hidden="1" x14ac:dyDescent="0.45">
      <c r="A406" s="17">
        <v>133</v>
      </c>
      <c r="D406" s="17" t="s">
        <v>1073</v>
      </c>
      <c r="E406" s="17" t="s">
        <v>1012</v>
      </c>
      <c r="G406" s="17" t="s">
        <v>1066</v>
      </c>
      <c r="H406" s="18" t="s">
        <v>1074</v>
      </c>
      <c r="I406" s="18"/>
      <c r="J406" s="17" t="s">
        <v>56</v>
      </c>
      <c r="M406" s="18"/>
      <c r="N406" s="18"/>
    </row>
    <row r="407" spans="1:15" s="17" customFormat="1" ht="409.5" hidden="1" x14ac:dyDescent="0.45">
      <c r="A407" s="17">
        <v>134</v>
      </c>
      <c r="D407" s="17" t="s">
        <v>1075</v>
      </c>
      <c r="E407" s="17" t="s">
        <v>1012</v>
      </c>
      <c r="F407" s="17" t="s">
        <v>1076</v>
      </c>
      <c r="G407" s="17" t="s">
        <v>1077</v>
      </c>
      <c r="H407" s="18" t="s">
        <v>1078</v>
      </c>
      <c r="I407" s="18"/>
      <c r="J407" s="17" t="s">
        <v>56</v>
      </c>
      <c r="M407" s="18"/>
      <c r="N407" s="18"/>
    </row>
    <row r="408" spans="1:15" s="17" customFormat="1" ht="228" hidden="1" x14ac:dyDescent="0.45">
      <c r="A408" s="17">
        <v>135</v>
      </c>
      <c r="D408" s="17" t="s">
        <v>1079</v>
      </c>
      <c r="E408" s="17" t="s">
        <v>1012</v>
      </c>
      <c r="F408" s="17" t="s">
        <v>1080</v>
      </c>
      <c r="G408" s="17" t="s">
        <v>1081</v>
      </c>
      <c r="H408" s="18" t="s">
        <v>1082</v>
      </c>
      <c r="I408" s="18"/>
      <c r="J408" s="17" t="s">
        <v>56</v>
      </c>
      <c r="M408" s="18"/>
      <c r="N408" s="18"/>
    </row>
    <row r="409" spans="1:15" s="17" customFormat="1" ht="28.5" hidden="1" x14ac:dyDescent="0.45">
      <c r="A409" s="17">
        <v>136</v>
      </c>
      <c r="D409" s="17" t="s">
        <v>1083</v>
      </c>
      <c r="E409" s="17" t="s">
        <v>1012</v>
      </c>
      <c r="F409" s="17" t="s">
        <v>640</v>
      </c>
      <c r="G409" s="17" t="s">
        <v>567</v>
      </c>
      <c r="H409" s="18" t="s">
        <v>1084</v>
      </c>
      <c r="I409" s="18"/>
      <c r="J409" s="17" t="s">
        <v>56</v>
      </c>
      <c r="M409" s="18"/>
      <c r="N409" s="18"/>
    </row>
    <row r="410" spans="1:15" s="17" customFormat="1" ht="28.5" hidden="1" x14ac:dyDescent="0.45">
      <c r="A410" s="17">
        <v>137</v>
      </c>
      <c r="D410" s="17" t="s">
        <v>1085</v>
      </c>
      <c r="E410" s="17" t="s">
        <v>1012</v>
      </c>
      <c r="F410" s="17" t="s">
        <v>642</v>
      </c>
      <c r="G410" s="17" t="s">
        <v>567</v>
      </c>
      <c r="H410" s="18" t="s">
        <v>1086</v>
      </c>
      <c r="I410" s="18"/>
      <c r="J410" s="17" t="s">
        <v>56</v>
      </c>
      <c r="M410" s="18"/>
      <c r="N410" s="18"/>
    </row>
    <row r="411" spans="1:15" s="17" customFormat="1" ht="28.5" hidden="1" x14ac:dyDescent="0.45">
      <c r="A411" s="17">
        <v>138</v>
      </c>
      <c r="D411" s="17" t="s">
        <v>1087</v>
      </c>
      <c r="E411" s="17" t="s">
        <v>1012</v>
      </c>
      <c r="F411" s="17" t="s">
        <v>642</v>
      </c>
      <c r="G411" s="17" t="s">
        <v>567</v>
      </c>
      <c r="H411" s="18" t="s">
        <v>1088</v>
      </c>
      <c r="I411" s="18"/>
      <c r="J411" s="17" t="s">
        <v>56</v>
      </c>
      <c r="M411" s="18"/>
      <c r="N411" s="18"/>
    </row>
    <row r="412" spans="1:15" s="17" customFormat="1" ht="42.75" hidden="1" x14ac:dyDescent="0.45">
      <c r="A412" s="17">
        <v>139</v>
      </c>
      <c r="D412" s="17" t="s">
        <v>1089</v>
      </c>
      <c r="E412" s="17" t="s">
        <v>1012</v>
      </c>
      <c r="F412" s="17" t="s">
        <v>642</v>
      </c>
      <c r="G412" s="17" t="s">
        <v>567</v>
      </c>
      <c r="H412" s="18" t="s">
        <v>1090</v>
      </c>
      <c r="I412" s="18"/>
      <c r="J412" s="17" t="s">
        <v>56</v>
      </c>
      <c r="M412" s="18"/>
      <c r="N412" s="18"/>
    </row>
    <row r="413" spans="1:15" s="17" customFormat="1" ht="28.5" hidden="1" x14ac:dyDescent="0.45">
      <c r="A413" s="17">
        <v>140</v>
      </c>
      <c r="D413" s="17" t="s">
        <v>1091</v>
      </c>
      <c r="E413" s="17" t="s">
        <v>1012</v>
      </c>
      <c r="F413" s="17" t="s">
        <v>1016</v>
      </c>
      <c r="G413" s="17" t="s">
        <v>567</v>
      </c>
      <c r="H413" s="18" t="s">
        <v>1092</v>
      </c>
      <c r="I413" s="18"/>
      <c r="J413" s="17" t="s">
        <v>56</v>
      </c>
      <c r="M413" s="18"/>
      <c r="N413" s="18"/>
    </row>
    <row r="414" spans="1:15" s="17" customFormat="1" ht="185.25" hidden="1" x14ac:dyDescent="0.45">
      <c r="A414" s="17">
        <v>141</v>
      </c>
      <c r="D414" s="17" t="s">
        <v>1093</v>
      </c>
      <c r="E414" s="17" t="s">
        <v>1012</v>
      </c>
      <c r="F414" s="17" t="s">
        <v>1093</v>
      </c>
      <c r="G414" s="17" t="s">
        <v>1034</v>
      </c>
      <c r="H414" s="18" t="s">
        <v>1094</v>
      </c>
      <c r="I414" s="18"/>
      <c r="J414" s="17" t="s">
        <v>56</v>
      </c>
      <c r="M414" s="18"/>
      <c r="N414" s="18"/>
    </row>
    <row r="415" spans="1:15" s="17" customFormat="1" ht="156.75" hidden="1" x14ac:dyDescent="0.45">
      <c r="A415" s="17">
        <v>142</v>
      </c>
      <c r="D415" s="17" t="s">
        <v>1095</v>
      </c>
      <c r="E415" s="17" t="s">
        <v>1012</v>
      </c>
      <c r="F415" s="17" t="s">
        <v>1093</v>
      </c>
      <c r="G415" s="17" t="s">
        <v>1034</v>
      </c>
      <c r="H415" s="18" t="s">
        <v>1096</v>
      </c>
      <c r="I415" s="18"/>
      <c r="J415" s="17" t="s">
        <v>141</v>
      </c>
      <c r="L415" s="17" t="s">
        <v>107</v>
      </c>
      <c r="M415" s="23" t="s">
        <v>108</v>
      </c>
      <c r="N415" s="23"/>
      <c r="O415" s="32"/>
    </row>
    <row r="416" spans="1:15" s="17" customFormat="1" ht="42.75" hidden="1" x14ac:dyDescent="0.45">
      <c r="A416" s="17">
        <v>143</v>
      </c>
      <c r="D416" s="17" t="s">
        <v>1097</v>
      </c>
      <c r="E416" s="17" t="s">
        <v>1012</v>
      </c>
      <c r="F416" s="17" t="s">
        <v>642</v>
      </c>
      <c r="G416" s="17" t="s">
        <v>567</v>
      </c>
      <c r="H416" s="18" t="s">
        <v>1098</v>
      </c>
      <c r="I416" s="18"/>
      <c r="J416" s="17" t="s">
        <v>56</v>
      </c>
      <c r="M416" s="18"/>
      <c r="N416" s="18"/>
    </row>
    <row r="417" spans="1:15" s="17" customFormat="1" ht="28.5" hidden="1" x14ac:dyDescent="0.45">
      <c r="A417" s="17">
        <v>144</v>
      </c>
      <c r="D417" s="17" t="s">
        <v>1099</v>
      </c>
      <c r="E417" s="17" t="s">
        <v>1012</v>
      </c>
      <c r="F417" s="17" t="s">
        <v>642</v>
      </c>
      <c r="G417" s="17" t="s">
        <v>567</v>
      </c>
      <c r="H417" s="18" t="s">
        <v>1100</v>
      </c>
      <c r="I417" s="18"/>
      <c r="J417" s="17" t="s">
        <v>56</v>
      </c>
      <c r="M417" s="18"/>
      <c r="N417" s="18"/>
    </row>
    <row r="418" spans="1:15" s="17" customFormat="1" hidden="1" x14ac:dyDescent="0.45">
      <c r="A418" s="17">
        <v>145</v>
      </c>
      <c r="D418" s="17" t="s">
        <v>1101</v>
      </c>
      <c r="E418" s="17" t="s">
        <v>1012</v>
      </c>
      <c r="F418" s="17" t="s">
        <v>640</v>
      </c>
      <c r="G418" s="17" t="s">
        <v>567</v>
      </c>
      <c r="H418" s="18" t="s">
        <v>1102</v>
      </c>
      <c r="I418" s="18"/>
      <c r="J418" s="17" t="s">
        <v>56</v>
      </c>
      <c r="M418" s="18"/>
      <c r="N418" s="18"/>
    </row>
    <row r="419" spans="1:15" s="17" customFormat="1" hidden="1" x14ac:dyDescent="0.45">
      <c r="A419" s="17">
        <v>146</v>
      </c>
      <c r="D419" s="17" t="s">
        <v>1103</v>
      </c>
      <c r="E419" s="17" t="s">
        <v>1012</v>
      </c>
      <c r="F419" s="17" t="s">
        <v>640</v>
      </c>
      <c r="G419" s="17" t="s">
        <v>567</v>
      </c>
      <c r="H419" s="18" t="s">
        <v>1104</v>
      </c>
      <c r="I419" s="18"/>
      <c r="J419" s="17" t="s">
        <v>56</v>
      </c>
      <c r="M419" s="18"/>
      <c r="N419" s="18"/>
    </row>
    <row r="420" spans="1:15" s="17" customFormat="1" ht="57" hidden="1" x14ac:dyDescent="0.45">
      <c r="A420" s="17">
        <v>147</v>
      </c>
      <c r="D420" s="17" t="s">
        <v>1105</v>
      </c>
      <c r="E420" s="17" t="s">
        <v>1012</v>
      </c>
      <c r="F420" s="17" t="s">
        <v>640</v>
      </c>
      <c r="G420" s="17" t="s">
        <v>567</v>
      </c>
      <c r="H420" s="18" t="s">
        <v>1106</v>
      </c>
      <c r="I420" s="18"/>
      <c r="J420" s="17" t="s">
        <v>56</v>
      </c>
      <c r="M420" s="18"/>
      <c r="N420" s="18"/>
    </row>
    <row r="421" spans="1:15" s="17" customFormat="1" ht="57" hidden="1" x14ac:dyDescent="0.45">
      <c r="A421" s="17">
        <v>148</v>
      </c>
      <c r="D421" s="17" t="s">
        <v>1107</v>
      </c>
      <c r="E421" s="17" t="s">
        <v>1012</v>
      </c>
      <c r="F421" s="17" t="s">
        <v>640</v>
      </c>
      <c r="G421" s="17" t="s">
        <v>567</v>
      </c>
      <c r="H421" s="18" t="s">
        <v>1108</v>
      </c>
      <c r="I421" s="18"/>
      <c r="J421" s="17" t="s">
        <v>56</v>
      </c>
      <c r="M421" s="18"/>
      <c r="N421" s="18"/>
    </row>
    <row r="422" spans="1:15" s="17" customFormat="1" ht="85.5" hidden="1" x14ac:dyDescent="0.45">
      <c r="A422" s="17">
        <v>149</v>
      </c>
      <c r="D422" s="17" t="s">
        <v>1109</v>
      </c>
      <c r="E422" s="17" t="s">
        <v>1012</v>
      </c>
      <c r="F422" s="17" t="s">
        <v>642</v>
      </c>
      <c r="G422" s="17" t="s">
        <v>567</v>
      </c>
      <c r="H422" s="18" t="s">
        <v>1110</v>
      </c>
      <c r="I422" s="18"/>
      <c r="J422" s="17" t="s">
        <v>56</v>
      </c>
      <c r="M422" s="18"/>
      <c r="N422" s="18"/>
    </row>
    <row r="423" spans="1:15" s="17" customFormat="1" ht="242.25" hidden="1" x14ac:dyDescent="0.45">
      <c r="A423" s="17">
        <v>150</v>
      </c>
      <c r="D423" s="17" t="s">
        <v>1111</v>
      </c>
      <c r="E423" s="17" t="s">
        <v>1012</v>
      </c>
      <c r="F423" s="17" t="s">
        <v>1112</v>
      </c>
      <c r="G423" s="17" t="s">
        <v>1013</v>
      </c>
      <c r="H423" s="18" t="s">
        <v>1113</v>
      </c>
      <c r="I423" s="18"/>
      <c r="J423" s="17" t="s">
        <v>56</v>
      </c>
      <c r="M423" s="18"/>
      <c r="N423" s="18"/>
    </row>
    <row r="424" spans="1:15" s="17" customFormat="1" ht="142.5" hidden="1" x14ac:dyDescent="0.45">
      <c r="A424" s="17">
        <v>151</v>
      </c>
      <c r="D424" s="17" t="s">
        <v>1114</v>
      </c>
      <c r="E424" s="17" t="s">
        <v>1012</v>
      </c>
      <c r="F424" s="17" t="s">
        <v>1112</v>
      </c>
      <c r="G424" s="17" t="s">
        <v>1013</v>
      </c>
      <c r="H424" s="18" t="s">
        <v>1115</v>
      </c>
      <c r="I424" s="18"/>
      <c r="J424" s="17" t="s">
        <v>56</v>
      </c>
      <c r="M424" s="18"/>
      <c r="N424" s="18"/>
    </row>
    <row r="425" spans="1:15" s="17" customFormat="1" ht="28.5" hidden="1" x14ac:dyDescent="0.45">
      <c r="A425" s="17">
        <v>152</v>
      </c>
      <c r="D425" s="17" t="s">
        <v>1116</v>
      </c>
      <c r="E425" s="17" t="s">
        <v>1012</v>
      </c>
      <c r="F425" s="17" t="s">
        <v>1016</v>
      </c>
      <c r="G425" s="17" t="s">
        <v>567</v>
      </c>
      <c r="H425" s="18" t="s">
        <v>1117</v>
      </c>
      <c r="I425" s="18"/>
      <c r="J425" s="17" t="s">
        <v>56</v>
      </c>
      <c r="M425" s="18"/>
      <c r="N425" s="18"/>
    </row>
    <row r="426" spans="1:15" s="17" customFormat="1" hidden="1" x14ac:dyDescent="0.45">
      <c r="A426" s="17">
        <v>153</v>
      </c>
      <c r="D426" s="17" t="s">
        <v>1118</v>
      </c>
      <c r="E426" s="17" t="s">
        <v>1012</v>
      </c>
      <c r="F426" s="17" t="s">
        <v>642</v>
      </c>
      <c r="G426" s="17" t="s">
        <v>567</v>
      </c>
      <c r="H426" s="18"/>
      <c r="I426" s="18"/>
      <c r="J426" s="17" t="s">
        <v>56</v>
      </c>
      <c r="M426" s="18"/>
      <c r="N426" s="18"/>
    </row>
    <row r="427" spans="1:15" s="17" customFormat="1" ht="28.5" hidden="1" x14ac:dyDescent="0.45">
      <c r="A427" s="17">
        <v>154</v>
      </c>
      <c r="D427" s="17" t="s">
        <v>1119</v>
      </c>
      <c r="E427" s="17" t="s">
        <v>1012</v>
      </c>
      <c r="F427" s="17" t="s">
        <v>642</v>
      </c>
      <c r="G427" s="17" t="s">
        <v>567</v>
      </c>
      <c r="H427" s="18" t="s">
        <v>1120</v>
      </c>
      <c r="I427" s="18"/>
      <c r="J427" s="17" t="s">
        <v>56</v>
      </c>
      <c r="M427" s="18"/>
      <c r="N427" s="18"/>
    </row>
    <row r="428" spans="1:15" s="17" customFormat="1" ht="28.5" hidden="1" x14ac:dyDescent="0.45">
      <c r="A428" s="17">
        <v>155</v>
      </c>
      <c r="D428" s="17" t="s">
        <v>1121</v>
      </c>
      <c r="E428" s="17" t="s">
        <v>1012</v>
      </c>
      <c r="F428" s="17" t="s">
        <v>640</v>
      </c>
      <c r="G428" s="17" t="s">
        <v>567</v>
      </c>
      <c r="H428" s="18" t="s">
        <v>1122</v>
      </c>
      <c r="I428" s="18"/>
      <c r="J428" s="17" t="s">
        <v>56</v>
      </c>
      <c r="M428" s="18"/>
      <c r="N428" s="18"/>
    </row>
    <row r="429" spans="1:15" s="17" customFormat="1" ht="57" hidden="1" x14ac:dyDescent="0.45">
      <c r="A429" s="17">
        <v>156</v>
      </c>
      <c r="D429" s="17" t="s">
        <v>1123</v>
      </c>
      <c r="E429" s="17" t="s">
        <v>1012</v>
      </c>
      <c r="F429" s="17" t="s">
        <v>640</v>
      </c>
      <c r="G429" s="17" t="s">
        <v>567</v>
      </c>
      <c r="H429" s="18" t="s">
        <v>1124</v>
      </c>
      <c r="I429" s="18"/>
      <c r="J429" s="17" t="s">
        <v>56</v>
      </c>
      <c r="M429" s="18"/>
      <c r="N429" s="18"/>
    </row>
    <row r="430" spans="1:15" s="17" customFormat="1" ht="28.5" hidden="1" x14ac:dyDescent="0.45">
      <c r="A430" s="17">
        <v>157</v>
      </c>
      <c r="D430" s="17" t="s">
        <v>1125</v>
      </c>
      <c r="E430" s="17" t="s">
        <v>1012</v>
      </c>
      <c r="F430" s="17" t="s">
        <v>640</v>
      </c>
      <c r="G430" s="17" t="s">
        <v>567</v>
      </c>
      <c r="H430" s="18" t="s">
        <v>1126</v>
      </c>
      <c r="I430" s="18"/>
      <c r="J430" s="17" t="s">
        <v>56</v>
      </c>
      <c r="L430" s="17" t="s">
        <v>210</v>
      </c>
      <c r="M430" s="23" t="s">
        <v>211</v>
      </c>
      <c r="N430" s="23"/>
      <c r="O430" s="32"/>
    </row>
    <row r="431" spans="1:15" s="17" customFormat="1" hidden="1" x14ac:dyDescent="0.45">
      <c r="A431" s="17">
        <v>158</v>
      </c>
      <c r="D431" s="17" t="s">
        <v>1127</v>
      </c>
      <c r="E431" s="17" t="s">
        <v>1012</v>
      </c>
      <c r="F431" s="17" t="s">
        <v>644</v>
      </c>
      <c r="G431" s="17" t="s">
        <v>567</v>
      </c>
      <c r="H431" s="18" t="s">
        <v>1128</v>
      </c>
      <c r="I431" s="18"/>
      <c r="J431" s="17" t="s">
        <v>56</v>
      </c>
      <c r="M431" s="18"/>
      <c r="N431" s="18"/>
    </row>
    <row r="432" spans="1:15" s="17" customFormat="1" ht="42.75" hidden="1" x14ac:dyDescent="0.45">
      <c r="A432" s="17">
        <v>159</v>
      </c>
      <c r="D432" s="17" t="s">
        <v>1129</v>
      </c>
      <c r="E432" s="17" t="s">
        <v>1012</v>
      </c>
      <c r="F432" s="17" t="s">
        <v>1023</v>
      </c>
      <c r="G432" s="17" t="s">
        <v>1024</v>
      </c>
      <c r="H432" s="18" t="s">
        <v>1130</v>
      </c>
      <c r="I432" s="18"/>
      <c r="J432" s="17" t="s">
        <v>106</v>
      </c>
      <c r="L432" s="17" t="s">
        <v>107</v>
      </c>
      <c r="M432" s="23" t="s">
        <v>108</v>
      </c>
      <c r="N432" s="23"/>
      <c r="O432" s="32"/>
    </row>
    <row r="433" spans="1:15" s="17" customFormat="1" ht="42.75" hidden="1" x14ac:dyDescent="0.45">
      <c r="A433" s="17">
        <v>160</v>
      </c>
      <c r="D433" s="17" t="s">
        <v>1131</v>
      </c>
      <c r="E433" s="17" t="s">
        <v>1012</v>
      </c>
      <c r="F433" s="17" t="s">
        <v>1023</v>
      </c>
      <c r="G433" s="17" t="s">
        <v>1024</v>
      </c>
      <c r="H433" s="18" t="s">
        <v>1132</v>
      </c>
      <c r="I433" s="18"/>
      <c r="J433" s="17" t="s">
        <v>106</v>
      </c>
      <c r="L433" s="17" t="s">
        <v>107</v>
      </c>
      <c r="M433" s="23" t="s">
        <v>108</v>
      </c>
      <c r="N433" s="23"/>
      <c r="O433" s="32"/>
    </row>
    <row r="434" spans="1:15" s="17" customFormat="1" ht="270.75" hidden="1" x14ac:dyDescent="0.45">
      <c r="A434" s="17">
        <v>161</v>
      </c>
      <c r="D434" s="17" t="s">
        <v>1133</v>
      </c>
      <c r="E434" s="17" t="s">
        <v>1012</v>
      </c>
      <c r="F434" s="17" t="s">
        <v>1065</v>
      </c>
      <c r="G434" s="17" t="s">
        <v>1066</v>
      </c>
      <c r="H434" s="18" t="s">
        <v>1134</v>
      </c>
      <c r="I434" s="18"/>
      <c r="J434" s="17" t="s">
        <v>251</v>
      </c>
      <c r="L434" s="17" t="s">
        <v>107</v>
      </c>
      <c r="M434" s="23" t="s">
        <v>108</v>
      </c>
      <c r="N434" s="23"/>
      <c r="O434" s="32"/>
    </row>
    <row r="435" spans="1:15" s="17" customFormat="1" ht="71.25" hidden="1" x14ac:dyDescent="0.45">
      <c r="A435" s="17">
        <v>162</v>
      </c>
      <c r="D435" s="17" t="s">
        <v>1135</v>
      </c>
      <c r="E435" s="17" t="s">
        <v>1012</v>
      </c>
      <c r="F435" s="17" t="s">
        <v>640</v>
      </c>
      <c r="G435" s="17" t="s">
        <v>567</v>
      </c>
      <c r="H435" s="18" t="s">
        <v>1136</v>
      </c>
      <c r="I435" s="18"/>
      <c r="J435" s="17" t="s">
        <v>56</v>
      </c>
      <c r="L435" s="17" t="s">
        <v>119</v>
      </c>
      <c r="M435" s="23" t="s">
        <v>120</v>
      </c>
      <c r="N435" s="23"/>
      <c r="O435" s="32"/>
    </row>
    <row r="436" spans="1:15" s="17" customFormat="1" ht="28.5" hidden="1" x14ac:dyDescent="0.45">
      <c r="A436" s="17">
        <v>163</v>
      </c>
      <c r="D436" s="17" t="s">
        <v>1137</v>
      </c>
      <c r="E436" s="17" t="s">
        <v>1012</v>
      </c>
      <c r="F436" s="17" t="s">
        <v>640</v>
      </c>
      <c r="G436" s="17" t="s">
        <v>567</v>
      </c>
      <c r="H436" s="18" t="s">
        <v>1138</v>
      </c>
      <c r="I436" s="18"/>
      <c r="J436" s="17" t="s">
        <v>56</v>
      </c>
      <c r="L436" s="17" t="s">
        <v>119</v>
      </c>
      <c r="M436" s="23" t="s">
        <v>120</v>
      </c>
      <c r="N436" s="23"/>
      <c r="O436" s="32"/>
    </row>
    <row r="437" spans="1:15" s="17" customFormat="1" hidden="1" x14ac:dyDescent="0.45">
      <c r="A437" s="17">
        <v>164</v>
      </c>
      <c r="D437" s="17" t="s">
        <v>1139</v>
      </c>
      <c r="E437" s="17" t="s">
        <v>1012</v>
      </c>
      <c r="F437" s="17" t="s">
        <v>642</v>
      </c>
      <c r="G437" s="17" t="s">
        <v>567</v>
      </c>
      <c r="H437" s="18" t="s">
        <v>1140</v>
      </c>
      <c r="I437" s="18"/>
      <c r="J437" s="17" t="s">
        <v>56</v>
      </c>
      <c r="M437" s="18"/>
      <c r="N437" s="18"/>
    </row>
    <row r="438" spans="1:15" s="17" customFormat="1" ht="28.5" hidden="1" x14ac:dyDescent="0.45">
      <c r="A438" s="17">
        <v>165</v>
      </c>
      <c r="D438" s="17" t="s">
        <v>1141</v>
      </c>
      <c r="E438" s="17" t="s">
        <v>1012</v>
      </c>
      <c r="F438" s="17" t="s">
        <v>640</v>
      </c>
      <c r="G438" s="17" t="s">
        <v>567</v>
      </c>
      <c r="H438" s="18" t="s">
        <v>1142</v>
      </c>
      <c r="I438" s="18"/>
      <c r="J438" s="17" t="s">
        <v>56</v>
      </c>
      <c r="M438" s="18"/>
      <c r="N438" s="18"/>
    </row>
    <row r="439" spans="1:15" s="17" customFormat="1" ht="28.5" hidden="1" x14ac:dyDescent="0.45">
      <c r="A439" s="17">
        <v>166</v>
      </c>
      <c r="D439" s="17" t="s">
        <v>1143</v>
      </c>
      <c r="E439" s="17" t="s">
        <v>1012</v>
      </c>
      <c r="F439" s="17" t="s">
        <v>640</v>
      </c>
      <c r="G439" s="17" t="s">
        <v>567</v>
      </c>
      <c r="H439" s="18" t="s">
        <v>1144</v>
      </c>
      <c r="I439" s="18"/>
      <c r="J439" s="17" t="s">
        <v>56</v>
      </c>
      <c r="M439" s="18"/>
      <c r="N439" s="18"/>
    </row>
    <row r="440" spans="1:15" s="17" customFormat="1" hidden="1" x14ac:dyDescent="0.45">
      <c r="A440" s="17">
        <v>167</v>
      </c>
      <c r="D440" s="17" t="s">
        <v>1145</v>
      </c>
      <c r="E440" s="17" t="s">
        <v>1012</v>
      </c>
      <c r="F440" s="17" t="s">
        <v>640</v>
      </c>
      <c r="G440" s="17" t="s">
        <v>567</v>
      </c>
      <c r="H440" s="18" t="s">
        <v>1146</v>
      </c>
      <c r="I440" s="18"/>
      <c r="J440" s="17" t="s">
        <v>56</v>
      </c>
      <c r="M440" s="18"/>
      <c r="N440" s="18"/>
    </row>
    <row r="441" spans="1:15" s="17" customFormat="1" hidden="1" x14ac:dyDescent="0.45">
      <c r="A441" s="17">
        <v>168</v>
      </c>
      <c r="D441" s="17" t="s">
        <v>1147</v>
      </c>
      <c r="E441" s="17" t="s">
        <v>1012</v>
      </c>
      <c r="F441" s="17" t="s">
        <v>640</v>
      </c>
      <c r="G441" s="17" t="s">
        <v>567</v>
      </c>
      <c r="H441" s="18" t="s">
        <v>1148</v>
      </c>
      <c r="I441" s="18"/>
      <c r="J441" s="17" t="s">
        <v>56</v>
      </c>
      <c r="M441" s="18"/>
      <c r="N441" s="18"/>
    </row>
    <row r="442" spans="1:15" s="17" customFormat="1" ht="28.5" hidden="1" x14ac:dyDescent="0.45">
      <c r="A442" s="17">
        <v>169</v>
      </c>
      <c r="D442" s="17" t="s">
        <v>1149</v>
      </c>
      <c r="E442" s="17" t="s">
        <v>1012</v>
      </c>
      <c r="F442" s="17" t="s">
        <v>642</v>
      </c>
      <c r="G442" s="17" t="s">
        <v>567</v>
      </c>
      <c r="H442" s="18" t="s">
        <v>1150</v>
      </c>
      <c r="I442" s="18"/>
      <c r="J442" s="17" t="s">
        <v>56</v>
      </c>
      <c r="M442" s="18"/>
      <c r="N442" s="18"/>
    </row>
    <row r="443" spans="1:15" s="17" customFormat="1" ht="85.5" hidden="1" x14ac:dyDescent="0.45">
      <c r="A443" s="17">
        <v>170</v>
      </c>
      <c r="D443" s="17" t="s">
        <v>1151</v>
      </c>
      <c r="E443" s="17" t="s">
        <v>1012</v>
      </c>
      <c r="F443" s="17" t="s">
        <v>642</v>
      </c>
      <c r="G443" s="17" t="s">
        <v>567</v>
      </c>
      <c r="H443" s="18" t="s">
        <v>1152</v>
      </c>
      <c r="I443" s="18"/>
      <c r="J443" s="17" t="s">
        <v>56</v>
      </c>
      <c r="M443" s="18"/>
      <c r="N443" s="18"/>
    </row>
    <row r="444" spans="1:15" s="17" customFormat="1" ht="42.75" hidden="1" x14ac:dyDescent="0.45">
      <c r="A444" s="17">
        <v>171</v>
      </c>
      <c r="D444" s="17" t="s">
        <v>1153</v>
      </c>
      <c r="E444" s="17" t="s">
        <v>1012</v>
      </c>
      <c r="F444" s="17" t="s">
        <v>642</v>
      </c>
      <c r="G444" s="17" t="s">
        <v>567</v>
      </c>
      <c r="H444" s="18" t="s">
        <v>1154</v>
      </c>
      <c r="I444" s="18"/>
      <c r="J444" s="17" t="s">
        <v>56</v>
      </c>
      <c r="M444" s="18"/>
      <c r="N444" s="18"/>
    </row>
    <row r="445" spans="1:15" s="17" customFormat="1" ht="28.5" hidden="1" x14ac:dyDescent="0.45">
      <c r="A445" s="17">
        <v>172</v>
      </c>
      <c r="D445" s="17" t="s">
        <v>1155</v>
      </c>
      <c r="E445" s="17" t="s">
        <v>1012</v>
      </c>
      <c r="F445" s="17" t="s">
        <v>1016</v>
      </c>
      <c r="G445" s="17" t="s">
        <v>567</v>
      </c>
      <c r="H445" s="18" t="s">
        <v>1156</v>
      </c>
      <c r="I445" s="18"/>
      <c r="J445" s="17" t="s">
        <v>56</v>
      </c>
      <c r="M445" s="18"/>
      <c r="N445" s="18"/>
    </row>
    <row r="446" spans="1:15" s="17" customFormat="1" ht="327.75" hidden="1" x14ac:dyDescent="0.45">
      <c r="A446" s="17">
        <v>173</v>
      </c>
      <c r="D446" s="17" t="s">
        <v>1157</v>
      </c>
      <c r="E446" s="17" t="s">
        <v>1012</v>
      </c>
      <c r="F446" s="17" t="s">
        <v>1027</v>
      </c>
      <c r="G446" s="17" t="s">
        <v>1013</v>
      </c>
      <c r="H446" s="18" t="s">
        <v>1158</v>
      </c>
      <c r="I446" s="18"/>
      <c r="J446" s="17" t="s">
        <v>56</v>
      </c>
      <c r="M446" s="18"/>
      <c r="N446" s="18"/>
    </row>
    <row r="447" spans="1:15" s="17" customFormat="1" ht="28.5" hidden="1" x14ac:dyDescent="0.45">
      <c r="A447" s="17">
        <v>174</v>
      </c>
      <c r="D447" s="17" t="s">
        <v>1159</v>
      </c>
      <c r="E447" s="17" t="s">
        <v>1012</v>
      </c>
      <c r="F447" s="17" t="s">
        <v>640</v>
      </c>
      <c r="G447" s="17" t="s">
        <v>567</v>
      </c>
      <c r="H447" s="18" t="s">
        <v>1160</v>
      </c>
      <c r="I447" s="18"/>
      <c r="J447" s="17" t="s">
        <v>56</v>
      </c>
      <c r="M447" s="18"/>
      <c r="N447" s="18"/>
    </row>
    <row r="448" spans="1:15" s="17" customFormat="1" ht="28.5" hidden="1" x14ac:dyDescent="0.45">
      <c r="A448" s="17">
        <v>175</v>
      </c>
      <c r="D448" s="17" t="s">
        <v>1161</v>
      </c>
      <c r="E448" s="17" t="s">
        <v>1012</v>
      </c>
      <c r="F448" s="17" t="s">
        <v>642</v>
      </c>
      <c r="G448" s="17" t="s">
        <v>567</v>
      </c>
      <c r="H448" s="18" t="s">
        <v>1162</v>
      </c>
      <c r="I448" s="18"/>
      <c r="J448" s="17" t="s">
        <v>56</v>
      </c>
      <c r="M448" s="18"/>
      <c r="N448" s="18"/>
    </row>
    <row r="449" spans="1:15" s="17" customFormat="1" ht="242.25" hidden="1" x14ac:dyDescent="0.45">
      <c r="A449" s="17">
        <v>176</v>
      </c>
      <c r="D449" s="17" t="s">
        <v>1163</v>
      </c>
      <c r="E449" s="17" t="s">
        <v>1012</v>
      </c>
      <c r="F449" s="17" t="s">
        <v>1065</v>
      </c>
      <c r="G449" s="17" t="s">
        <v>1066</v>
      </c>
      <c r="H449" s="18" t="s">
        <v>1164</v>
      </c>
      <c r="I449" s="18"/>
      <c r="J449" s="17" t="s">
        <v>251</v>
      </c>
      <c r="L449" s="17" t="s">
        <v>107</v>
      </c>
      <c r="M449" s="23" t="s">
        <v>108</v>
      </c>
      <c r="N449" s="23"/>
      <c r="O449" s="32"/>
    </row>
    <row r="450" spans="1:15" s="17" customFormat="1" ht="85.5" hidden="1" x14ac:dyDescent="0.45">
      <c r="A450" s="17">
        <v>177</v>
      </c>
      <c r="D450" s="17" t="s">
        <v>1165</v>
      </c>
      <c r="E450" s="17" t="s">
        <v>1012</v>
      </c>
      <c r="F450" s="17" t="s">
        <v>646</v>
      </c>
      <c r="G450" s="17" t="s">
        <v>567</v>
      </c>
      <c r="H450" s="18" t="s">
        <v>1166</v>
      </c>
      <c r="I450" s="18"/>
      <c r="J450" s="17" t="s">
        <v>56</v>
      </c>
      <c r="M450" s="18"/>
      <c r="N450" s="18"/>
    </row>
    <row r="451" spans="1:15" s="17" customFormat="1" ht="42.75" hidden="1" x14ac:dyDescent="0.45">
      <c r="A451" s="17">
        <v>178</v>
      </c>
      <c r="D451" s="17" t="s">
        <v>1167</v>
      </c>
      <c r="E451" s="17" t="s">
        <v>1012</v>
      </c>
      <c r="F451" s="17" t="s">
        <v>640</v>
      </c>
      <c r="G451" s="17" t="s">
        <v>567</v>
      </c>
      <c r="H451" s="18" t="s">
        <v>1168</v>
      </c>
      <c r="I451" s="18"/>
      <c r="J451" s="17" t="s">
        <v>56</v>
      </c>
      <c r="M451" s="18"/>
      <c r="N451" s="18"/>
    </row>
    <row r="452" spans="1:15" s="17" customFormat="1" ht="28.5" hidden="1" x14ac:dyDescent="0.45">
      <c r="A452" s="17">
        <v>179</v>
      </c>
      <c r="D452" s="17" t="s">
        <v>1169</v>
      </c>
      <c r="E452" s="17" t="s">
        <v>1012</v>
      </c>
      <c r="F452" s="17" t="s">
        <v>642</v>
      </c>
      <c r="G452" s="17" t="s">
        <v>567</v>
      </c>
      <c r="H452" s="18" t="s">
        <v>1170</v>
      </c>
      <c r="I452" s="18"/>
      <c r="J452" s="17" t="s">
        <v>56</v>
      </c>
      <c r="M452" s="18"/>
      <c r="N452" s="18"/>
    </row>
    <row r="453" spans="1:15" s="17" customFormat="1" hidden="1" x14ac:dyDescent="0.45">
      <c r="A453" s="17">
        <v>180</v>
      </c>
      <c r="D453" s="17" t="s">
        <v>1171</v>
      </c>
      <c r="E453" s="17" t="s">
        <v>1012</v>
      </c>
      <c r="F453" s="17" t="s">
        <v>642</v>
      </c>
      <c r="G453" s="17" t="s">
        <v>567</v>
      </c>
      <c r="H453" s="22"/>
      <c r="I453" s="22"/>
      <c r="J453" s="17" t="s">
        <v>56</v>
      </c>
      <c r="M453" s="18"/>
      <c r="N453" s="18"/>
    </row>
    <row r="454" spans="1:15" s="17" customFormat="1" ht="42.75" hidden="1" x14ac:dyDescent="0.45">
      <c r="A454" s="17">
        <v>181</v>
      </c>
      <c r="D454" s="17" t="s">
        <v>1172</v>
      </c>
      <c r="E454" s="17" t="s">
        <v>1012</v>
      </c>
      <c r="F454" s="17" t="s">
        <v>644</v>
      </c>
      <c r="G454" s="17" t="s">
        <v>567</v>
      </c>
      <c r="H454" s="18" t="s">
        <v>1173</v>
      </c>
      <c r="I454" s="18"/>
      <c r="J454" s="17" t="s">
        <v>56</v>
      </c>
      <c r="M454" s="18"/>
      <c r="N454" s="18"/>
    </row>
    <row r="455" spans="1:15" s="17" customFormat="1" ht="42.75" hidden="1" x14ac:dyDescent="0.45">
      <c r="A455" s="17">
        <v>182</v>
      </c>
      <c r="D455" s="17" t="s">
        <v>1174</v>
      </c>
      <c r="E455" s="17" t="s">
        <v>1012</v>
      </c>
      <c r="F455" s="17" t="s">
        <v>1023</v>
      </c>
      <c r="G455" s="17" t="s">
        <v>1024</v>
      </c>
      <c r="H455" s="18" t="s">
        <v>1175</v>
      </c>
      <c r="I455" s="18"/>
      <c r="J455" s="17" t="s">
        <v>56</v>
      </c>
      <c r="M455" s="18"/>
      <c r="N455" s="18"/>
    </row>
    <row r="456" spans="1:15" s="17" customFormat="1" ht="71.25" hidden="1" x14ac:dyDescent="0.45">
      <c r="A456" s="17">
        <v>183</v>
      </c>
      <c r="D456" s="17" t="s">
        <v>1176</v>
      </c>
      <c r="E456" s="17" t="s">
        <v>1012</v>
      </c>
      <c r="F456" s="17" t="s">
        <v>1059</v>
      </c>
      <c r="G456" s="17" t="s">
        <v>1060</v>
      </c>
      <c r="H456" s="18" t="s">
        <v>1177</v>
      </c>
      <c r="I456" s="18"/>
      <c r="J456" s="17" t="s">
        <v>56</v>
      </c>
      <c r="M456" s="18"/>
      <c r="N456" s="18"/>
    </row>
    <row r="457" spans="1:15" s="17" customFormat="1" ht="313.5" hidden="1" x14ac:dyDescent="0.45">
      <c r="A457" s="17">
        <v>184</v>
      </c>
      <c r="D457" s="17" t="s">
        <v>1178</v>
      </c>
      <c r="E457" s="17" t="s">
        <v>1012</v>
      </c>
      <c r="F457" s="17" t="s">
        <v>1023</v>
      </c>
      <c r="G457" s="17" t="s">
        <v>1024</v>
      </c>
      <c r="H457" s="18" t="s">
        <v>1179</v>
      </c>
      <c r="I457" s="18"/>
      <c r="J457" s="17" t="s">
        <v>106</v>
      </c>
      <c r="L457" s="17" t="s">
        <v>107</v>
      </c>
      <c r="M457" s="23" t="s">
        <v>108</v>
      </c>
      <c r="N457" s="23"/>
      <c r="O457" s="32"/>
    </row>
    <row r="458" spans="1:15" s="17" customFormat="1" ht="28.5" hidden="1" x14ac:dyDescent="0.45">
      <c r="A458" s="17">
        <v>185</v>
      </c>
      <c r="D458" s="17" t="s">
        <v>1180</v>
      </c>
      <c r="E458" s="17" t="s">
        <v>1012</v>
      </c>
      <c r="F458" s="17" t="s">
        <v>644</v>
      </c>
      <c r="G458" s="17" t="s">
        <v>567</v>
      </c>
      <c r="H458" s="18" t="s">
        <v>1181</v>
      </c>
      <c r="I458" s="18"/>
      <c r="J458" s="17" t="s">
        <v>56</v>
      </c>
      <c r="M458" s="18"/>
      <c r="N458" s="18"/>
    </row>
    <row r="459" spans="1:15" s="17" customFormat="1" ht="71.25" hidden="1" x14ac:dyDescent="0.45">
      <c r="A459" s="17">
        <v>186</v>
      </c>
      <c r="D459" s="17" t="s">
        <v>1182</v>
      </c>
      <c r="E459" s="17" t="s">
        <v>1012</v>
      </c>
      <c r="F459" s="17" t="s">
        <v>1183</v>
      </c>
      <c r="G459" s="17" t="s">
        <v>1066</v>
      </c>
      <c r="H459" s="18" t="s">
        <v>1184</v>
      </c>
      <c r="I459" s="18"/>
      <c r="J459" s="17" t="s">
        <v>106</v>
      </c>
      <c r="L459" s="17" t="s">
        <v>107</v>
      </c>
      <c r="M459" s="23" t="s">
        <v>108</v>
      </c>
      <c r="N459" s="23"/>
      <c r="O459" s="32"/>
    </row>
    <row r="460" spans="1:15" s="17" customFormat="1" ht="71.25" hidden="1" x14ac:dyDescent="0.45">
      <c r="A460" s="17">
        <v>187</v>
      </c>
      <c r="D460" s="17" t="s">
        <v>1185</v>
      </c>
      <c r="E460" s="17" t="s">
        <v>1012</v>
      </c>
      <c r="F460" s="17" t="s">
        <v>1065</v>
      </c>
      <c r="G460" s="17" t="s">
        <v>1066</v>
      </c>
      <c r="H460" s="18" t="s">
        <v>1186</v>
      </c>
      <c r="I460" s="18"/>
      <c r="J460" s="17" t="s">
        <v>56</v>
      </c>
      <c r="M460" s="18"/>
      <c r="N460" s="18"/>
    </row>
    <row r="461" spans="1:15" s="17" customFormat="1" ht="85.5" hidden="1" x14ac:dyDescent="0.45">
      <c r="A461" s="17">
        <v>188</v>
      </c>
      <c r="D461" s="17" t="s">
        <v>1187</v>
      </c>
      <c r="E461" s="17" t="s">
        <v>1012</v>
      </c>
      <c r="F461" s="17" t="s">
        <v>1188</v>
      </c>
      <c r="G461" s="17" t="s">
        <v>1066</v>
      </c>
      <c r="H461" s="18" t="s">
        <v>1189</v>
      </c>
      <c r="I461" s="18"/>
      <c r="J461" s="17" t="s">
        <v>56</v>
      </c>
      <c r="M461" s="18"/>
      <c r="N461" s="18"/>
    </row>
    <row r="462" spans="1:15" s="17" customFormat="1" ht="114" hidden="1" x14ac:dyDescent="0.45">
      <c r="A462" s="17">
        <v>189</v>
      </c>
      <c r="D462" s="17" t="s">
        <v>1190</v>
      </c>
      <c r="E462" s="17" t="s">
        <v>1012</v>
      </c>
      <c r="F462" s="17" t="s">
        <v>1188</v>
      </c>
      <c r="G462" s="17" t="s">
        <v>1066</v>
      </c>
      <c r="H462" s="18" t="s">
        <v>1191</v>
      </c>
      <c r="I462" s="18"/>
      <c r="J462" s="17" t="s">
        <v>56</v>
      </c>
      <c r="M462" s="18"/>
      <c r="N462" s="18"/>
    </row>
    <row r="463" spans="1:15" s="17" customFormat="1" ht="71.25" hidden="1" x14ac:dyDescent="0.45">
      <c r="A463" s="17">
        <v>190</v>
      </c>
      <c r="D463" s="17" t="s">
        <v>1192</v>
      </c>
      <c r="E463" s="17" t="s">
        <v>1012</v>
      </c>
      <c r="F463" s="17" t="s">
        <v>1065</v>
      </c>
      <c r="G463" s="17" t="s">
        <v>1066</v>
      </c>
      <c r="H463" s="18" t="s">
        <v>1193</v>
      </c>
      <c r="I463" s="18"/>
      <c r="J463" s="17" t="s">
        <v>56</v>
      </c>
      <c r="M463" s="18"/>
      <c r="N463" s="18"/>
    </row>
    <row r="464" spans="1:15" s="17" customFormat="1" ht="71.25" hidden="1" x14ac:dyDescent="0.45">
      <c r="A464" s="17">
        <v>191</v>
      </c>
      <c r="D464" s="17" t="s">
        <v>1194</v>
      </c>
      <c r="E464" s="17" t="s">
        <v>1012</v>
      </c>
      <c r="F464" s="17" t="s">
        <v>1188</v>
      </c>
      <c r="G464" s="17" t="s">
        <v>1066</v>
      </c>
      <c r="H464" s="18" t="s">
        <v>1195</v>
      </c>
      <c r="I464" s="18"/>
      <c r="J464" s="17" t="s">
        <v>56</v>
      </c>
      <c r="M464" s="18"/>
      <c r="N464" s="18"/>
    </row>
    <row r="465" spans="1:15" s="17" customFormat="1" ht="57" hidden="1" x14ac:dyDescent="0.45">
      <c r="A465" s="17">
        <v>192</v>
      </c>
      <c r="D465" s="17" t="s">
        <v>1196</v>
      </c>
      <c r="E465" s="17" t="s">
        <v>1012</v>
      </c>
      <c r="F465" s="17" t="s">
        <v>646</v>
      </c>
      <c r="G465" s="17" t="s">
        <v>567</v>
      </c>
      <c r="H465" s="18" t="s">
        <v>1197</v>
      </c>
      <c r="I465" s="18"/>
      <c r="J465" s="17" t="s">
        <v>56</v>
      </c>
      <c r="M465" s="18"/>
      <c r="N465" s="18"/>
    </row>
    <row r="466" spans="1:15" s="17" customFormat="1" ht="370.5" hidden="1" x14ac:dyDescent="0.45">
      <c r="A466" s="17">
        <v>193</v>
      </c>
      <c r="D466" s="17" t="s">
        <v>1198</v>
      </c>
      <c r="E466" s="17" t="s">
        <v>1012</v>
      </c>
      <c r="F466" s="17" t="s">
        <v>1040</v>
      </c>
      <c r="G466" s="17" t="s">
        <v>1024</v>
      </c>
      <c r="H466" s="18" t="s">
        <v>1199</v>
      </c>
      <c r="I466" s="18"/>
      <c r="J466" s="17" t="s">
        <v>56</v>
      </c>
      <c r="M466" s="18"/>
      <c r="N466" s="18"/>
    </row>
    <row r="467" spans="1:15" s="17" customFormat="1" ht="28.5" hidden="1" x14ac:dyDescent="0.45">
      <c r="A467" s="17">
        <v>194</v>
      </c>
      <c r="D467" s="17" t="s">
        <v>1200</v>
      </c>
      <c r="E467" s="17" t="s">
        <v>1012</v>
      </c>
      <c r="F467" s="17" t="s">
        <v>642</v>
      </c>
      <c r="G467" s="17" t="s">
        <v>567</v>
      </c>
      <c r="H467" s="18" t="s">
        <v>1201</v>
      </c>
      <c r="I467" s="18"/>
      <c r="J467" s="17" t="s">
        <v>56</v>
      </c>
      <c r="M467" s="18"/>
      <c r="N467" s="18"/>
    </row>
    <row r="468" spans="1:15" s="17" customFormat="1" ht="114" hidden="1" x14ac:dyDescent="0.45">
      <c r="A468" s="17">
        <v>195</v>
      </c>
      <c r="D468" s="17" t="s">
        <v>1202</v>
      </c>
      <c r="E468" s="17" t="s">
        <v>1012</v>
      </c>
      <c r="F468" s="17" t="s">
        <v>1202</v>
      </c>
      <c r="G468" s="17" t="s">
        <v>1034</v>
      </c>
      <c r="H468" s="18" t="s">
        <v>1203</v>
      </c>
      <c r="I468" s="18"/>
      <c r="J468" s="17" t="s">
        <v>56</v>
      </c>
      <c r="M468" s="18"/>
      <c r="N468" s="18"/>
    </row>
    <row r="469" spans="1:15" s="17" customFormat="1" ht="28.5" hidden="1" x14ac:dyDescent="0.45">
      <c r="A469" s="17">
        <v>196</v>
      </c>
      <c r="D469" s="17" t="s">
        <v>1204</v>
      </c>
      <c r="E469" s="17" t="s">
        <v>1012</v>
      </c>
      <c r="F469" s="17" t="s">
        <v>642</v>
      </c>
      <c r="G469" s="17" t="s">
        <v>567</v>
      </c>
      <c r="H469" s="18" t="s">
        <v>1205</v>
      </c>
      <c r="I469" s="18"/>
      <c r="J469" s="17" t="s">
        <v>56</v>
      </c>
      <c r="M469" s="18"/>
      <c r="N469" s="18"/>
    </row>
    <row r="470" spans="1:15" s="17" customFormat="1" ht="71.25" hidden="1" x14ac:dyDescent="0.45">
      <c r="A470" s="17">
        <v>197</v>
      </c>
      <c r="D470" s="17" t="s">
        <v>1206</v>
      </c>
      <c r="E470" s="17" t="s">
        <v>1012</v>
      </c>
      <c r="F470" s="17" t="s">
        <v>1069</v>
      </c>
      <c r="G470" s="17" t="s">
        <v>1066</v>
      </c>
      <c r="H470" s="18" t="s">
        <v>1207</v>
      </c>
      <c r="I470" s="18"/>
      <c r="J470" s="17" t="s">
        <v>56</v>
      </c>
      <c r="L470" s="17" t="s">
        <v>195</v>
      </c>
      <c r="M470" s="23" t="s">
        <v>196</v>
      </c>
      <c r="N470" s="23"/>
      <c r="O470" s="32"/>
    </row>
    <row r="471" spans="1:15" s="17" customFormat="1" ht="171" hidden="1" x14ac:dyDescent="0.45">
      <c r="A471" s="17">
        <v>198</v>
      </c>
      <c r="D471" s="17" t="s">
        <v>1208</v>
      </c>
      <c r="E471" s="17" t="s">
        <v>1012</v>
      </c>
      <c r="F471" s="17" t="s">
        <v>1059</v>
      </c>
      <c r="G471" s="17" t="s">
        <v>1060</v>
      </c>
      <c r="H471" s="18" t="s">
        <v>1209</v>
      </c>
      <c r="I471" s="18"/>
      <c r="J471" s="17" t="s">
        <v>106</v>
      </c>
      <c r="L471" s="17" t="s">
        <v>107</v>
      </c>
      <c r="M471" s="23" t="s">
        <v>108</v>
      </c>
      <c r="N471" s="23"/>
      <c r="O471" s="32"/>
    </row>
    <row r="472" spans="1:15" s="17" customFormat="1" ht="409.5" hidden="1" x14ac:dyDescent="0.45">
      <c r="A472" s="17">
        <v>199</v>
      </c>
      <c r="D472" s="17" t="s">
        <v>1210</v>
      </c>
      <c r="E472" s="17" t="s">
        <v>1012</v>
      </c>
      <c r="F472" s="17" t="s">
        <v>1023</v>
      </c>
      <c r="H472" s="18" t="s">
        <v>1211</v>
      </c>
      <c r="I472" s="18"/>
      <c r="J472" s="17" t="s">
        <v>56</v>
      </c>
      <c r="M472" s="18"/>
      <c r="N472" s="18"/>
    </row>
    <row r="473" spans="1:15" s="17" customFormat="1" ht="384.75" hidden="1" x14ac:dyDescent="0.45">
      <c r="A473" s="17">
        <v>200</v>
      </c>
      <c r="D473" s="17" t="s">
        <v>1212</v>
      </c>
      <c r="E473" s="17" t="s">
        <v>1012</v>
      </c>
      <c r="F473" s="17" t="s">
        <v>1183</v>
      </c>
      <c r="G473" s="17" t="s">
        <v>1066</v>
      </c>
      <c r="H473" s="18" t="s">
        <v>1213</v>
      </c>
      <c r="I473" s="18"/>
      <c r="J473" s="17" t="s">
        <v>56</v>
      </c>
      <c r="M473" s="18"/>
      <c r="N473" s="18"/>
    </row>
    <row r="474" spans="1:15" s="17" customFormat="1" hidden="1" x14ac:dyDescent="0.45">
      <c r="A474" s="17">
        <v>201</v>
      </c>
      <c r="D474" s="17" t="s">
        <v>1214</v>
      </c>
      <c r="E474" s="17" t="s">
        <v>1012</v>
      </c>
      <c r="F474" s="17" t="s">
        <v>642</v>
      </c>
      <c r="G474" s="17" t="s">
        <v>567</v>
      </c>
      <c r="H474" s="18" t="s">
        <v>1215</v>
      </c>
      <c r="I474" s="18"/>
      <c r="J474" s="17" t="s">
        <v>56</v>
      </c>
      <c r="M474" s="18"/>
      <c r="N474" s="18"/>
    </row>
    <row r="475" spans="1:15" s="17" customFormat="1" ht="28.5" hidden="1" x14ac:dyDescent="0.45">
      <c r="A475" s="17">
        <v>202</v>
      </c>
      <c r="D475" s="17" t="s">
        <v>1216</v>
      </c>
      <c r="E475" s="17" t="s">
        <v>1012</v>
      </c>
      <c r="F475" s="17" t="s">
        <v>642</v>
      </c>
      <c r="G475" s="17" t="s">
        <v>567</v>
      </c>
      <c r="H475" s="18" t="s">
        <v>1217</v>
      </c>
      <c r="I475" s="18"/>
      <c r="J475" s="17" t="s">
        <v>56</v>
      </c>
      <c r="M475" s="18"/>
      <c r="N475" s="18"/>
    </row>
    <row r="476" spans="1:15" s="17" customFormat="1" ht="28.5" hidden="1" x14ac:dyDescent="0.45">
      <c r="A476" s="17">
        <v>203</v>
      </c>
      <c r="D476" s="17" t="s">
        <v>1218</v>
      </c>
      <c r="E476" s="17" t="s">
        <v>1012</v>
      </c>
      <c r="F476" s="17" t="s">
        <v>642</v>
      </c>
      <c r="G476" s="17" t="s">
        <v>567</v>
      </c>
      <c r="H476" s="18" t="s">
        <v>1219</v>
      </c>
      <c r="I476" s="18"/>
      <c r="J476" s="17" t="s">
        <v>56</v>
      </c>
      <c r="M476" s="18"/>
      <c r="N476" s="18"/>
    </row>
    <row r="477" spans="1:15" s="17" customFormat="1" hidden="1" x14ac:dyDescent="0.45">
      <c r="A477" s="17">
        <v>204</v>
      </c>
      <c r="D477" s="17" t="s">
        <v>1220</v>
      </c>
      <c r="E477" s="17" t="s">
        <v>1012</v>
      </c>
      <c r="F477" s="17" t="s">
        <v>1054</v>
      </c>
      <c r="G477" s="17" t="s">
        <v>1055</v>
      </c>
      <c r="H477" s="18"/>
      <c r="I477" s="18"/>
      <c r="J477" s="17" t="s">
        <v>56</v>
      </c>
      <c r="M477" s="18"/>
      <c r="N477" s="18"/>
    </row>
    <row r="478" spans="1:15" s="17" customFormat="1" ht="28.5" hidden="1" x14ac:dyDescent="0.45">
      <c r="A478" s="17">
        <v>205</v>
      </c>
      <c r="D478" s="17" t="s">
        <v>1221</v>
      </c>
      <c r="E478" s="17" t="s">
        <v>1012</v>
      </c>
      <c r="F478" s="17" t="s">
        <v>640</v>
      </c>
      <c r="G478" s="17" t="s">
        <v>567</v>
      </c>
      <c r="H478" s="18" t="s">
        <v>1222</v>
      </c>
      <c r="I478" s="18"/>
      <c r="J478" s="17" t="s">
        <v>56</v>
      </c>
      <c r="M478" s="18"/>
      <c r="N478" s="18"/>
    </row>
    <row r="479" spans="1:15" s="17" customFormat="1" ht="28.5" hidden="1" x14ac:dyDescent="0.45">
      <c r="A479" s="17">
        <v>206</v>
      </c>
      <c r="D479" s="17" t="s">
        <v>1223</v>
      </c>
      <c r="E479" s="17" t="s">
        <v>1012</v>
      </c>
      <c r="F479" s="17" t="s">
        <v>640</v>
      </c>
      <c r="G479" s="17" t="s">
        <v>567</v>
      </c>
      <c r="H479" s="18" t="s">
        <v>1224</v>
      </c>
      <c r="I479" s="18"/>
      <c r="J479" s="17" t="s">
        <v>56</v>
      </c>
      <c r="M479" s="18"/>
      <c r="N479" s="18"/>
    </row>
    <row r="480" spans="1:15" s="17" customFormat="1" ht="28.5" hidden="1" x14ac:dyDescent="0.45">
      <c r="A480" s="17">
        <v>207</v>
      </c>
      <c r="D480" s="17" t="s">
        <v>1225</v>
      </c>
      <c r="E480" s="17" t="s">
        <v>1012</v>
      </c>
      <c r="F480" s="17" t="s">
        <v>1016</v>
      </c>
      <c r="G480" s="17" t="s">
        <v>567</v>
      </c>
      <c r="H480" s="18" t="s">
        <v>1226</v>
      </c>
      <c r="I480" s="18"/>
      <c r="J480" s="17" t="s">
        <v>56</v>
      </c>
      <c r="M480" s="18"/>
      <c r="N480" s="18"/>
    </row>
    <row r="481" spans="1:19" s="17" customFormat="1" ht="42.75" hidden="1" x14ac:dyDescent="0.45">
      <c r="A481" s="17">
        <v>208</v>
      </c>
      <c r="D481" s="17" t="s">
        <v>1227</v>
      </c>
      <c r="E481" s="17" t="s">
        <v>1012</v>
      </c>
      <c r="F481" s="17" t="s">
        <v>640</v>
      </c>
      <c r="G481" s="17" t="s">
        <v>567</v>
      </c>
      <c r="H481" s="18" t="s">
        <v>1228</v>
      </c>
      <c r="I481" s="18"/>
      <c r="J481" s="17" t="s">
        <v>56</v>
      </c>
      <c r="L481" s="17" t="s">
        <v>119</v>
      </c>
      <c r="M481" s="23" t="s">
        <v>120</v>
      </c>
      <c r="N481" s="23"/>
      <c r="O481" s="32"/>
    </row>
    <row r="482" spans="1:19" s="17" customFormat="1" ht="28.5" hidden="1" x14ac:dyDescent="0.45">
      <c r="A482" s="17">
        <v>209</v>
      </c>
      <c r="D482" s="17" t="s">
        <v>1229</v>
      </c>
      <c r="E482" s="17" t="s">
        <v>1012</v>
      </c>
      <c r="F482" s="17" t="s">
        <v>1230</v>
      </c>
      <c r="G482" s="17" t="s">
        <v>1055</v>
      </c>
      <c r="H482" s="18" t="s">
        <v>1231</v>
      </c>
      <c r="I482" s="18"/>
      <c r="J482" s="17" t="s">
        <v>56</v>
      </c>
      <c r="M482" s="18"/>
      <c r="N482" s="18"/>
    </row>
    <row r="483" spans="1:19" s="17" customFormat="1" ht="57" hidden="1" x14ac:dyDescent="0.45">
      <c r="A483" s="17">
        <v>210</v>
      </c>
      <c r="D483" s="17" t="s">
        <v>1232</v>
      </c>
      <c r="E483" s="17" t="s">
        <v>1012</v>
      </c>
      <c r="F483" s="17" t="s">
        <v>644</v>
      </c>
      <c r="G483" s="17" t="s">
        <v>567</v>
      </c>
      <c r="H483" s="18" t="s">
        <v>1233</v>
      </c>
      <c r="I483" s="18"/>
      <c r="J483" s="17" t="s">
        <v>56</v>
      </c>
      <c r="M483" s="18"/>
      <c r="N483" s="18"/>
    </row>
    <row r="484" spans="1:19" s="17" customFormat="1" ht="85.5" hidden="1" x14ac:dyDescent="0.45">
      <c r="A484" s="17">
        <v>211</v>
      </c>
      <c r="D484" s="17" t="s">
        <v>1234</v>
      </c>
      <c r="E484" s="17" t="s">
        <v>1012</v>
      </c>
      <c r="F484" s="17" t="s">
        <v>1235</v>
      </c>
      <c r="G484" s="17" t="s">
        <v>1236</v>
      </c>
      <c r="H484" s="18" t="s">
        <v>1237</v>
      </c>
      <c r="I484" s="18"/>
      <c r="J484" s="17" t="s">
        <v>56</v>
      </c>
      <c r="M484" s="18"/>
      <c r="N484" s="18"/>
    </row>
    <row r="485" spans="1:19" s="17" customFormat="1" ht="28.5" hidden="1" x14ac:dyDescent="0.45">
      <c r="A485" s="17">
        <v>212</v>
      </c>
      <c r="D485" s="17" t="s">
        <v>1238</v>
      </c>
      <c r="E485" s="17" t="s">
        <v>1012</v>
      </c>
      <c r="F485" s="17" t="s">
        <v>1239</v>
      </c>
      <c r="G485" s="17" t="s">
        <v>1060</v>
      </c>
      <c r="H485" s="18" t="s">
        <v>1240</v>
      </c>
      <c r="I485" s="18"/>
      <c r="J485" s="17" t="s">
        <v>56</v>
      </c>
      <c r="M485" s="18"/>
      <c r="N485" s="18"/>
    </row>
    <row r="486" spans="1:19" s="17" customFormat="1" ht="28.5" hidden="1" x14ac:dyDescent="0.45">
      <c r="A486" s="17">
        <v>213</v>
      </c>
      <c r="D486" s="17" t="s">
        <v>1241</v>
      </c>
      <c r="E486" s="17" t="s">
        <v>1012</v>
      </c>
      <c r="F486" s="17" t="s">
        <v>642</v>
      </c>
      <c r="G486" s="17" t="s">
        <v>567</v>
      </c>
      <c r="H486" s="18" t="s">
        <v>1242</v>
      </c>
      <c r="I486" s="18"/>
      <c r="J486" s="17" t="s">
        <v>56</v>
      </c>
      <c r="M486" s="18"/>
      <c r="N486" s="18"/>
    </row>
    <row r="487" spans="1:19" s="17" customFormat="1" ht="114" hidden="1" x14ac:dyDescent="0.45">
      <c r="A487" s="17">
        <v>214</v>
      </c>
      <c r="D487" s="17" t="s">
        <v>1243</v>
      </c>
      <c r="E487" s="17" t="s">
        <v>1012</v>
      </c>
      <c r="F487" s="17" t="s">
        <v>1033</v>
      </c>
      <c r="G487" s="17" t="s">
        <v>1034</v>
      </c>
      <c r="H487" s="18" t="s">
        <v>1244</v>
      </c>
      <c r="I487" s="18"/>
      <c r="J487" s="17" t="s">
        <v>56</v>
      </c>
      <c r="M487" s="18"/>
      <c r="N487" s="18"/>
    </row>
    <row r="488" spans="1:19" s="17" customFormat="1" ht="356.25" hidden="1" x14ac:dyDescent="0.45">
      <c r="A488" s="17">
        <v>215</v>
      </c>
      <c r="D488" s="17" t="s">
        <v>1245</v>
      </c>
      <c r="E488" s="17" t="s">
        <v>1012</v>
      </c>
      <c r="F488" s="17" t="s">
        <v>1027</v>
      </c>
      <c r="G488" s="17" t="s">
        <v>1013</v>
      </c>
      <c r="H488" s="18" t="s">
        <v>1246</v>
      </c>
      <c r="I488" s="18"/>
      <c r="J488" s="17" t="s">
        <v>56</v>
      </c>
      <c r="M488" s="18"/>
      <c r="N488" s="18"/>
    </row>
    <row r="489" spans="1:19" s="17" customFormat="1" ht="28.5" hidden="1" x14ac:dyDescent="0.45">
      <c r="A489" s="17">
        <v>216</v>
      </c>
      <c r="D489" s="17" t="s">
        <v>1247</v>
      </c>
      <c r="E489" s="17" t="s">
        <v>1012</v>
      </c>
      <c r="F489" s="17" t="s">
        <v>642</v>
      </c>
      <c r="G489" s="17" t="s">
        <v>567</v>
      </c>
      <c r="H489" s="18" t="s">
        <v>1248</v>
      </c>
      <c r="I489" s="18"/>
      <c r="J489" s="17" t="s">
        <v>56</v>
      </c>
      <c r="M489" s="18"/>
      <c r="N489" s="18"/>
    </row>
    <row r="490" spans="1:19" s="17" customFormat="1" ht="409.5" hidden="1" x14ac:dyDescent="0.45">
      <c r="A490" s="17">
        <v>217</v>
      </c>
      <c r="D490" s="17" t="s">
        <v>1249</v>
      </c>
      <c r="E490" s="17" t="s">
        <v>1012</v>
      </c>
      <c r="F490" s="17" t="s">
        <v>1183</v>
      </c>
      <c r="G490" s="17" t="s">
        <v>1066</v>
      </c>
      <c r="H490" s="18" t="s">
        <v>1250</v>
      </c>
      <c r="I490" s="18"/>
      <c r="J490" s="17" t="s">
        <v>106</v>
      </c>
      <c r="L490" s="17" t="s">
        <v>107</v>
      </c>
      <c r="M490" s="23" t="s">
        <v>108</v>
      </c>
      <c r="N490" s="23"/>
      <c r="O490" s="32"/>
    </row>
    <row r="491" spans="1:19" s="17" customFormat="1" ht="28.5" hidden="1" x14ac:dyDescent="0.45">
      <c r="A491" s="17">
        <v>218</v>
      </c>
      <c r="D491" s="17" t="s">
        <v>1251</v>
      </c>
      <c r="E491" s="17" t="s">
        <v>1012</v>
      </c>
      <c r="F491" s="17" t="s">
        <v>1016</v>
      </c>
      <c r="G491" s="17" t="s">
        <v>567</v>
      </c>
      <c r="H491" s="18" t="s">
        <v>1252</v>
      </c>
      <c r="I491" s="18"/>
      <c r="J491" s="17" t="s">
        <v>56</v>
      </c>
      <c r="M491" s="18"/>
      <c r="N491" s="18"/>
    </row>
    <row r="492" spans="1:19" s="17" customFormat="1" hidden="1" x14ac:dyDescent="0.45">
      <c r="A492" s="17">
        <v>219</v>
      </c>
      <c r="D492" s="17" t="s">
        <v>1253</v>
      </c>
      <c r="E492" s="17" t="s">
        <v>1012</v>
      </c>
      <c r="F492" s="17" t="s">
        <v>644</v>
      </c>
      <c r="G492" s="17" t="s">
        <v>567</v>
      </c>
      <c r="H492" s="18" t="s">
        <v>1254</v>
      </c>
      <c r="I492" s="18"/>
      <c r="J492" s="17" t="s">
        <v>56</v>
      </c>
      <c r="M492" s="18"/>
      <c r="N492" s="18"/>
    </row>
    <row r="493" spans="1:19" s="17" customFormat="1" ht="85.5" hidden="1" x14ac:dyDescent="0.45">
      <c r="A493" s="17">
        <v>220</v>
      </c>
      <c r="D493" s="17" t="s">
        <v>1255</v>
      </c>
      <c r="E493" s="17" t="s">
        <v>1012</v>
      </c>
      <c r="F493" s="17" t="s">
        <v>1065</v>
      </c>
      <c r="G493" s="17" t="s">
        <v>1066</v>
      </c>
      <c r="H493" s="18" t="s">
        <v>1256</v>
      </c>
      <c r="I493" s="18"/>
      <c r="J493" s="17" t="s">
        <v>56</v>
      </c>
      <c r="L493" s="17" t="s">
        <v>195</v>
      </c>
      <c r="M493" s="23" t="s">
        <v>196</v>
      </c>
      <c r="N493" s="23"/>
      <c r="O493" s="32"/>
    </row>
    <row r="494" spans="1:19" s="17" customFormat="1" ht="156.75" hidden="1" x14ac:dyDescent="0.45">
      <c r="A494" s="17">
        <v>221</v>
      </c>
      <c r="D494" s="17" t="s">
        <v>1257</v>
      </c>
      <c r="E494" s="17" t="s">
        <v>1012</v>
      </c>
      <c r="F494" s="17" t="s">
        <v>1065</v>
      </c>
      <c r="G494" s="17" t="s">
        <v>1066</v>
      </c>
      <c r="H494" s="18" t="s">
        <v>1258</v>
      </c>
      <c r="I494" s="18"/>
      <c r="J494" s="17" t="s">
        <v>56</v>
      </c>
      <c r="L494" s="17" t="s">
        <v>195</v>
      </c>
      <c r="M494" s="23" t="s">
        <v>196</v>
      </c>
      <c r="N494" s="23"/>
      <c r="O494" s="32"/>
    </row>
    <row r="495" spans="1:19" s="17" customFormat="1" ht="28.5" hidden="1" x14ac:dyDescent="0.45">
      <c r="A495" s="17">
        <v>222</v>
      </c>
      <c r="D495" s="21" t="s">
        <v>1259</v>
      </c>
      <c r="E495" s="21" t="s">
        <v>1012</v>
      </c>
      <c r="F495" s="21" t="s">
        <v>1054</v>
      </c>
      <c r="G495" s="21" t="s">
        <v>1055</v>
      </c>
      <c r="H495" s="22"/>
      <c r="I495" s="22"/>
      <c r="J495" s="21" t="s">
        <v>56</v>
      </c>
      <c r="K495" s="21"/>
      <c r="L495" s="21" t="s">
        <v>608</v>
      </c>
      <c r="M495" s="24" t="s">
        <v>609</v>
      </c>
      <c r="N495" s="24"/>
      <c r="O495" s="31"/>
      <c r="P495" s="21"/>
      <c r="Q495" s="21"/>
      <c r="R495" s="21"/>
      <c r="S495" s="21"/>
    </row>
    <row r="496" spans="1:19" s="17" customFormat="1" ht="114" hidden="1" x14ac:dyDescent="0.45">
      <c r="A496" s="17">
        <v>223</v>
      </c>
      <c r="D496" s="17" t="s">
        <v>1040</v>
      </c>
      <c r="E496" s="17" t="s">
        <v>1012</v>
      </c>
      <c r="F496" s="17" t="s">
        <v>1040</v>
      </c>
      <c r="G496" s="17" t="s">
        <v>1024</v>
      </c>
      <c r="H496" s="18" t="s">
        <v>1260</v>
      </c>
      <c r="I496" s="18"/>
      <c r="J496" s="17" t="s">
        <v>56</v>
      </c>
      <c r="M496" s="18"/>
      <c r="N496" s="18"/>
    </row>
    <row r="497" spans="1:19" s="17" customFormat="1" ht="356.25" hidden="1" x14ac:dyDescent="0.45">
      <c r="A497" s="17">
        <v>224</v>
      </c>
      <c r="D497" s="17" t="s">
        <v>1261</v>
      </c>
      <c r="E497" s="17" t="s">
        <v>1012</v>
      </c>
      <c r="F497" s="17" t="s">
        <v>1040</v>
      </c>
      <c r="G497" s="17" t="s">
        <v>1024</v>
      </c>
      <c r="H497" s="18" t="s">
        <v>1262</v>
      </c>
      <c r="I497" s="18"/>
      <c r="J497" s="17" t="s">
        <v>56</v>
      </c>
      <c r="M497" s="18"/>
      <c r="N497" s="18"/>
    </row>
    <row r="498" spans="1:19" s="17" customFormat="1" ht="85.5" hidden="1" x14ac:dyDescent="0.45">
      <c r="A498" s="17">
        <v>225</v>
      </c>
      <c r="D498" s="17" t="s">
        <v>1263</v>
      </c>
      <c r="E498" s="17" t="s">
        <v>1012</v>
      </c>
      <c r="F498" s="17" t="s">
        <v>1093</v>
      </c>
      <c r="G498" s="17" t="s">
        <v>1034</v>
      </c>
      <c r="H498" s="18" t="s">
        <v>1264</v>
      </c>
      <c r="I498" s="18"/>
      <c r="J498" s="17" t="s">
        <v>56</v>
      </c>
      <c r="M498" s="18"/>
      <c r="N498" s="18"/>
    </row>
    <row r="499" spans="1:19" s="17" customFormat="1" ht="199.5" hidden="1" x14ac:dyDescent="0.45">
      <c r="A499" s="17">
        <v>226</v>
      </c>
      <c r="D499" s="17" t="s">
        <v>1023</v>
      </c>
      <c r="E499" s="17" t="s">
        <v>1012</v>
      </c>
      <c r="F499" s="17" t="s">
        <v>1023</v>
      </c>
      <c r="G499" s="17" t="s">
        <v>1024</v>
      </c>
      <c r="H499" s="18" t="s">
        <v>1265</v>
      </c>
      <c r="I499" s="18"/>
      <c r="J499" s="17" t="s">
        <v>56</v>
      </c>
      <c r="M499" s="18"/>
      <c r="N499" s="18"/>
    </row>
    <row r="500" spans="1:19" s="17" customFormat="1" ht="57" hidden="1" x14ac:dyDescent="0.45">
      <c r="A500" s="17">
        <v>227</v>
      </c>
      <c r="D500" s="17" t="s">
        <v>1266</v>
      </c>
      <c r="E500" s="17" t="s">
        <v>1012</v>
      </c>
      <c r="F500" s="17" t="s">
        <v>637</v>
      </c>
      <c r="G500" s="17" t="s">
        <v>567</v>
      </c>
      <c r="H500" s="18" t="s">
        <v>1267</v>
      </c>
      <c r="I500" s="18"/>
      <c r="J500" s="17" t="s">
        <v>56</v>
      </c>
      <c r="M500" s="18"/>
      <c r="N500" s="18"/>
    </row>
    <row r="501" spans="1:19" s="17" customFormat="1" ht="185.25" hidden="1" x14ac:dyDescent="0.45">
      <c r="A501" s="17">
        <v>228</v>
      </c>
      <c r="D501" s="17" t="s">
        <v>1268</v>
      </c>
      <c r="E501" s="17" t="s">
        <v>1012</v>
      </c>
      <c r="F501" s="17" t="s">
        <v>1269</v>
      </c>
      <c r="G501" s="17" t="s">
        <v>656</v>
      </c>
      <c r="H501" s="18" t="s">
        <v>1270</v>
      </c>
      <c r="I501" s="18"/>
      <c r="J501" s="17" t="s">
        <v>56</v>
      </c>
      <c r="L501" s="17" t="s">
        <v>297</v>
      </c>
      <c r="M501" s="23" t="s">
        <v>298</v>
      </c>
      <c r="N501" s="23"/>
      <c r="O501" s="32"/>
    </row>
    <row r="502" spans="1:19" s="17" customFormat="1" ht="156.75" hidden="1" x14ac:dyDescent="0.45">
      <c r="A502" s="17">
        <v>229</v>
      </c>
      <c r="D502" s="17" t="s">
        <v>1271</v>
      </c>
      <c r="E502" s="17" t="s">
        <v>1012</v>
      </c>
      <c r="F502" s="17" t="s">
        <v>637</v>
      </c>
      <c r="G502" s="17" t="s">
        <v>567</v>
      </c>
      <c r="H502" s="18" t="s">
        <v>1272</v>
      </c>
      <c r="I502" s="18"/>
      <c r="J502" s="17" t="s">
        <v>56</v>
      </c>
      <c r="M502" s="18"/>
      <c r="N502" s="18"/>
    </row>
    <row r="503" spans="1:19" s="17" customFormat="1" hidden="1" x14ac:dyDescent="0.45">
      <c r="A503" s="17">
        <v>230</v>
      </c>
      <c r="D503" s="17" t="s">
        <v>1273</v>
      </c>
      <c r="E503" s="17" t="s">
        <v>1012</v>
      </c>
      <c r="F503" s="17" t="s">
        <v>642</v>
      </c>
      <c r="G503" s="17" t="s">
        <v>567</v>
      </c>
      <c r="H503" s="18" t="s">
        <v>1274</v>
      </c>
      <c r="I503" s="18"/>
      <c r="J503" s="17" t="s">
        <v>56</v>
      </c>
      <c r="M503" s="18"/>
      <c r="N503" s="18"/>
    </row>
    <row r="504" spans="1:19" s="17" customFormat="1" ht="42.75" hidden="1" x14ac:dyDescent="0.45">
      <c r="A504" s="17">
        <v>231</v>
      </c>
      <c r="D504" s="17" t="s">
        <v>1275</v>
      </c>
      <c r="E504" s="17" t="s">
        <v>1012</v>
      </c>
      <c r="F504" s="17" t="s">
        <v>642</v>
      </c>
      <c r="G504" s="17" t="s">
        <v>567</v>
      </c>
      <c r="H504" s="18" t="s">
        <v>1276</v>
      </c>
      <c r="I504" s="18"/>
      <c r="J504" s="17" t="s">
        <v>56</v>
      </c>
      <c r="M504" s="18"/>
      <c r="N504" s="18"/>
    </row>
    <row r="505" spans="1:19" s="17" customFormat="1" ht="28.5" hidden="1" x14ac:dyDescent="0.45">
      <c r="A505" s="17">
        <v>232</v>
      </c>
      <c r="D505" s="17" t="s">
        <v>1277</v>
      </c>
      <c r="E505" s="17" t="s">
        <v>1012</v>
      </c>
      <c r="F505" s="17" t="s">
        <v>642</v>
      </c>
      <c r="G505" s="17" t="s">
        <v>567</v>
      </c>
      <c r="H505" s="18" t="s">
        <v>1278</v>
      </c>
      <c r="I505" s="18"/>
      <c r="J505" s="17" t="s">
        <v>56</v>
      </c>
      <c r="M505" s="18"/>
      <c r="N505" s="18"/>
    </row>
    <row r="506" spans="1:19" s="17" customFormat="1" ht="242.25" hidden="1" x14ac:dyDescent="0.45">
      <c r="A506" s="17">
        <v>233</v>
      </c>
      <c r="D506" s="17" t="s">
        <v>1279</v>
      </c>
      <c r="E506" s="17" t="s">
        <v>1012</v>
      </c>
      <c r="F506" s="17" t="s">
        <v>1202</v>
      </c>
      <c r="G506" s="17" t="s">
        <v>1034</v>
      </c>
      <c r="H506" s="18" t="s">
        <v>1280</v>
      </c>
      <c r="I506" s="18"/>
      <c r="J506" s="17" t="s">
        <v>56</v>
      </c>
      <c r="M506" s="18"/>
      <c r="N506" s="18"/>
    </row>
    <row r="507" spans="1:19" s="17" customFormat="1" ht="28.5" hidden="1" x14ac:dyDescent="0.45">
      <c r="A507" s="17">
        <v>234</v>
      </c>
      <c r="D507" s="17" t="s">
        <v>1281</v>
      </c>
      <c r="E507" s="17" t="s">
        <v>1012</v>
      </c>
      <c r="F507" s="17" t="s">
        <v>1282</v>
      </c>
      <c r="G507" s="17" t="s">
        <v>1060</v>
      </c>
      <c r="H507" s="18" t="s">
        <v>1283</v>
      </c>
      <c r="I507" s="18"/>
      <c r="J507" s="17" t="s">
        <v>56</v>
      </c>
      <c r="M507" s="18"/>
      <c r="N507" s="18"/>
    </row>
    <row r="508" spans="1:19" s="17" customFormat="1" ht="28.5" hidden="1" x14ac:dyDescent="0.45">
      <c r="A508" s="17">
        <v>235</v>
      </c>
      <c r="D508" s="17" t="s">
        <v>1284</v>
      </c>
      <c r="E508" s="17" t="s">
        <v>1012</v>
      </c>
      <c r="F508" s="17" t="s">
        <v>644</v>
      </c>
      <c r="G508" s="17" t="s">
        <v>567</v>
      </c>
      <c r="H508" s="18" t="s">
        <v>1285</v>
      </c>
      <c r="I508" s="18"/>
      <c r="J508" s="17" t="s">
        <v>56</v>
      </c>
      <c r="M508" s="18"/>
      <c r="N508" s="18"/>
    </row>
    <row r="509" spans="1:19" s="17" customFormat="1" hidden="1" x14ac:dyDescent="0.45">
      <c r="A509" s="17">
        <v>236</v>
      </c>
      <c r="D509" s="17" t="s">
        <v>1286</v>
      </c>
      <c r="E509" s="17" t="s">
        <v>1012</v>
      </c>
      <c r="F509" s="17" t="s">
        <v>644</v>
      </c>
      <c r="G509" s="17" t="s">
        <v>567</v>
      </c>
      <c r="H509" s="18" t="s">
        <v>1287</v>
      </c>
      <c r="I509" s="18"/>
      <c r="J509" s="17" t="s">
        <v>56</v>
      </c>
      <c r="M509" s="18"/>
      <c r="N509" s="18"/>
    </row>
    <row r="510" spans="1:19" s="17" customFormat="1" hidden="1" x14ac:dyDescent="0.45">
      <c r="A510" s="17">
        <v>237</v>
      </c>
      <c r="D510" s="17" t="s">
        <v>39</v>
      </c>
      <c r="E510" s="17" t="s">
        <v>1012</v>
      </c>
      <c r="F510" s="17" t="s">
        <v>644</v>
      </c>
      <c r="G510" s="17" t="s">
        <v>567</v>
      </c>
      <c r="H510" s="18"/>
      <c r="I510" s="18"/>
      <c r="J510" s="17" t="s">
        <v>56</v>
      </c>
      <c r="M510" s="18"/>
      <c r="N510" s="18"/>
    </row>
    <row r="511" spans="1:19" s="17" customFormat="1" ht="42.75" hidden="1" x14ac:dyDescent="0.45">
      <c r="A511" s="17">
        <v>238</v>
      </c>
      <c r="D511" s="17" t="s">
        <v>1288</v>
      </c>
      <c r="E511" s="17" t="s">
        <v>1012</v>
      </c>
      <c r="F511" s="17" t="s">
        <v>646</v>
      </c>
      <c r="G511" s="17" t="s">
        <v>567</v>
      </c>
      <c r="H511" s="18" t="s">
        <v>1289</v>
      </c>
      <c r="I511" s="18"/>
      <c r="J511" s="17" t="s">
        <v>56</v>
      </c>
      <c r="M511" s="18"/>
      <c r="N511" s="18"/>
    </row>
    <row r="512" spans="1:19" s="17" customFormat="1" hidden="1" x14ac:dyDescent="0.45">
      <c r="A512" s="17">
        <v>239</v>
      </c>
      <c r="D512" s="21" t="s">
        <v>1290</v>
      </c>
      <c r="E512" s="21" t="s">
        <v>1012</v>
      </c>
      <c r="F512" s="21"/>
      <c r="G512" s="21"/>
      <c r="H512" s="22"/>
      <c r="I512" s="22"/>
      <c r="J512" s="21" t="s">
        <v>56</v>
      </c>
      <c r="K512" s="21"/>
      <c r="L512" s="21"/>
      <c r="M512" s="22"/>
      <c r="N512" s="22"/>
      <c r="O512" s="21"/>
      <c r="P512" s="21"/>
      <c r="Q512" s="21"/>
      <c r="R512" s="21"/>
      <c r="S512" s="21"/>
    </row>
    <row r="513" spans="1:15" s="17" customFormat="1" ht="114" hidden="1" x14ac:dyDescent="0.45">
      <c r="A513" s="17">
        <v>240</v>
      </c>
      <c r="D513" s="17" t="s">
        <v>1269</v>
      </c>
      <c r="E513" s="17" t="s">
        <v>1012</v>
      </c>
      <c r="F513" s="17" t="s">
        <v>1269</v>
      </c>
      <c r="G513" s="17" t="s">
        <v>656</v>
      </c>
      <c r="H513" s="18" t="s">
        <v>1291</v>
      </c>
      <c r="I513" s="18"/>
      <c r="J513" s="17" t="s">
        <v>56</v>
      </c>
      <c r="M513" s="18"/>
      <c r="N513" s="18"/>
    </row>
    <row r="514" spans="1:15" s="17" customFormat="1" ht="28.5" hidden="1" x14ac:dyDescent="0.45">
      <c r="A514" s="17">
        <v>241</v>
      </c>
      <c r="D514" s="17" t="s">
        <v>1292</v>
      </c>
      <c r="E514" s="17" t="s">
        <v>1012</v>
      </c>
      <c r="F514" s="17" t="s">
        <v>1054</v>
      </c>
      <c r="G514" s="17" t="s">
        <v>1055</v>
      </c>
      <c r="H514" s="18"/>
      <c r="I514" s="18"/>
      <c r="J514" s="17" t="s">
        <v>56</v>
      </c>
      <c r="L514" s="17" t="s">
        <v>626</v>
      </c>
      <c r="M514" s="23" t="s">
        <v>905</v>
      </c>
      <c r="N514" s="23"/>
      <c r="O514" s="32"/>
    </row>
    <row r="515" spans="1:15" s="17" customFormat="1" ht="327.75" hidden="1" x14ac:dyDescent="0.45">
      <c r="A515" s="17">
        <v>242</v>
      </c>
      <c r="D515" s="17" t="s">
        <v>1293</v>
      </c>
      <c r="E515" s="17" t="s">
        <v>1012</v>
      </c>
      <c r="F515" s="17" t="s">
        <v>1023</v>
      </c>
      <c r="G515" s="17" t="s">
        <v>1024</v>
      </c>
      <c r="H515" s="18" t="s">
        <v>1294</v>
      </c>
      <c r="I515" s="18"/>
      <c r="J515" s="17" t="s">
        <v>141</v>
      </c>
      <c r="L515" s="17" t="s">
        <v>107</v>
      </c>
      <c r="M515" s="23" t="s">
        <v>108</v>
      </c>
      <c r="N515" s="23"/>
      <c r="O515" s="32"/>
    </row>
    <row r="516" spans="1:15" s="17" customFormat="1" ht="42.75" hidden="1" x14ac:dyDescent="0.45">
      <c r="A516" s="17">
        <v>243</v>
      </c>
      <c r="D516" s="17" t="s">
        <v>1295</v>
      </c>
      <c r="E516" s="17" t="s">
        <v>1012</v>
      </c>
      <c r="F516" s="17" t="s">
        <v>1016</v>
      </c>
      <c r="G516" s="17" t="s">
        <v>567</v>
      </c>
      <c r="H516" s="18" t="s">
        <v>1296</v>
      </c>
      <c r="I516" s="18"/>
      <c r="J516" s="17" t="s">
        <v>56</v>
      </c>
      <c r="M516" s="18"/>
      <c r="N516" s="18"/>
    </row>
    <row r="517" spans="1:15" s="17" customFormat="1" hidden="1" x14ac:dyDescent="0.45">
      <c r="A517" s="17">
        <v>244</v>
      </c>
      <c r="D517" s="17" t="s">
        <v>1297</v>
      </c>
      <c r="E517" s="17" t="s">
        <v>1012</v>
      </c>
      <c r="F517" s="17" t="s">
        <v>1016</v>
      </c>
      <c r="G517" s="17" t="s">
        <v>567</v>
      </c>
      <c r="H517" s="18" t="s">
        <v>1298</v>
      </c>
      <c r="I517" s="18"/>
      <c r="J517" s="17" t="s">
        <v>56</v>
      </c>
      <c r="M517" s="18"/>
      <c r="N517" s="18"/>
    </row>
    <row r="518" spans="1:15" s="17" customFormat="1" ht="409.5" hidden="1" x14ac:dyDescent="0.45">
      <c r="A518" s="17">
        <v>245</v>
      </c>
      <c r="D518" s="17" t="s">
        <v>1299</v>
      </c>
      <c r="E518" s="17" t="s">
        <v>1012</v>
      </c>
      <c r="F518" s="17" t="s">
        <v>1183</v>
      </c>
      <c r="G518" s="17" t="s">
        <v>1066</v>
      </c>
      <c r="H518" s="18" t="s">
        <v>1300</v>
      </c>
      <c r="I518" s="18"/>
      <c r="J518" s="17" t="s">
        <v>106</v>
      </c>
      <c r="L518" s="17" t="s">
        <v>107</v>
      </c>
      <c r="M518" s="23" t="s">
        <v>108</v>
      </c>
      <c r="N518" s="23"/>
      <c r="O518" s="32"/>
    </row>
    <row r="519" spans="1:15" s="17" customFormat="1" ht="28.5" hidden="1" x14ac:dyDescent="0.45">
      <c r="A519" s="17">
        <v>246</v>
      </c>
      <c r="D519" s="17" t="s">
        <v>1301</v>
      </c>
      <c r="E519" s="17" t="s">
        <v>1012</v>
      </c>
      <c r="F519" s="17" t="s">
        <v>1016</v>
      </c>
      <c r="G519" s="17" t="s">
        <v>567</v>
      </c>
      <c r="H519" s="18" t="s">
        <v>1302</v>
      </c>
      <c r="I519" s="18"/>
      <c r="J519" s="17" t="s">
        <v>56</v>
      </c>
      <c r="M519" s="18"/>
      <c r="N519" s="18"/>
    </row>
    <row r="520" spans="1:15" s="17" customFormat="1" ht="409.5" hidden="1" x14ac:dyDescent="0.45">
      <c r="A520" s="17">
        <v>247</v>
      </c>
      <c r="D520" s="17" t="s">
        <v>1303</v>
      </c>
      <c r="E520" s="17" t="s">
        <v>1012</v>
      </c>
      <c r="F520" s="17" t="s">
        <v>1065</v>
      </c>
      <c r="G520" s="17" t="s">
        <v>1066</v>
      </c>
      <c r="H520" s="18" t="s">
        <v>1304</v>
      </c>
      <c r="I520" s="18"/>
      <c r="J520" s="17" t="s">
        <v>56</v>
      </c>
      <c r="M520" s="18"/>
      <c r="N520" s="18"/>
    </row>
    <row r="521" spans="1:15" s="17" customFormat="1" hidden="1" x14ac:dyDescent="0.45">
      <c r="A521" s="17">
        <v>248</v>
      </c>
      <c r="D521" s="17" t="s">
        <v>1305</v>
      </c>
      <c r="E521" s="17" t="s">
        <v>1012</v>
      </c>
      <c r="F521" s="17" t="s">
        <v>644</v>
      </c>
      <c r="G521" s="17" t="s">
        <v>567</v>
      </c>
      <c r="H521" s="18" t="s">
        <v>1306</v>
      </c>
      <c r="I521" s="18"/>
      <c r="J521" s="17" t="s">
        <v>56</v>
      </c>
      <c r="M521" s="18"/>
      <c r="N521" s="18"/>
    </row>
    <row r="522" spans="1:15" s="17" customFormat="1" ht="28.5" hidden="1" x14ac:dyDescent="0.45">
      <c r="A522" s="17">
        <v>249</v>
      </c>
      <c r="D522" s="17" t="s">
        <v>1307</v>
      </c>
      <c r="E522" s="17" t="s">
        <v>1012</v>
      </c>
      <c r="F522" s="17" t="s">
        <v>642</v>
      </c>
      <c r="G522" s="17" t="s">
        <v>567</v>
      </c>
      <c r="H522" s="18" t="s">
        <v>1308</v>
      </c>
      <c r="I522" s="18"/>
      <c r="J522" s="17" t="s">
        <v>56</v>
      </c>
      <c r="M522" s="18"/>
      <c r="N522" s="18"/>
    </row>
    <row r="523" spans="1:15" s="17" customFormat="1" ht="71.25" hidden="1" x14ac:dyDescent="0.45">
      <c r="A523" s="17">
        <v>250</v>
      </c>
      <c r="D523" s="17" t="s">
        <v>1309</v>
      </c>
      <c r="E523" s="17" t="s">
        <v>1012</v>
      </c>
      <c r="F523" s="17" t="s">
        <v>1309</v>
      </c>
      <c r="G523" s="17" t="s">
        <v>656</v>
      </c>
      <c r="H523" s="18" t="s">
        <v>1310</v>
      </c>
      <c r="I523" s="18"/>
      <c r="J523" s="17" t="s">
        <v>56</v>
      </c>
      <c r="M523" s="18"/>
      <c r="N523" s="18"/>
    </row>
    <row r="524" spans="1:15" s="17" customFormat="1" hidden="1" x14ac:dyDescent="0.45">
      <c r="A524" s="17">
        <v>251</v>
      </c>
      <c r="D524" s="17" t="s">
        <v>1311</v>
      </c>
      <c r="E524" s="17" t="s">
        <v>1012</v>
      </c>
      <c r="F524" s="17" t="s">
        <v>1054</v>
      </c>
      <c r="G524" s="17" t="s">
        <v>1055</v>
      </c>
      <c r="H524" s="18"/>
      <c r="I524" s="18"/>
      <c r="J524" s="17" t="s">
        <v>56</v>
      </c>
      <c r="M524" s="18"/>
      <c r="N524" s="18"/>
    </row>
    <row r="525" spans="1:15" s="17" customFormat="1" ht="28.5" hidden="1" x14ac:dyDescent="0.45">
      <c r="A525" s="17">
        <v>252</v>
      </c>
      <c r="D525" s="17" t="s">
        <v>1312</v>
      </c>
      <c r="E525" s="17" t="s">
        <v>1012</v>
      </c>
      <c r="F525" s="17" t="s">
        <v>644</v>
      </c>
      <c r="G525" s="17" t="s">
        <v>567</v>
      </c>
      <c r="H525" s="18" t="s">
        <v>1313</v>
      </c>
      <c r="I525" s="18"/>
      <c r="J525" s="17" t="s">
        <v>56</v>
      </c>
      <c r="M525" s="18"/>
      <c r="N525" s="18"/>
    </row>
    <row r="526" spans="1:15" s="17" customFormat="1" ht="28.5" hidden="1" x14ac:dyDescent="0.45">
      <c r="A526" s="17">
        <v>253</v>
      </c>
      <c r="D526" s="17" t="s">
        <v>1314</v>
      </c>
      <c r="E526" s="17" t="s">
        <v>1012</v>
      </c>
      <c r="F526" s="17" t="s">
        <v>1054</v>
      </c>
      <c r="G526" s="17" t="s">
        <v>1055</v>
      </c>
      <c r="H526" s="18"/>
      <c r="I526" s="18"/>
      <c r="J526" s="17" t="s">
        <v>56</v>
      </c>
      <c r="L526" s="17" t="s">
        <v>336</v>
      </c>
      <c r="M526" s="23" t="s">
        <v>337</v>
      </c>
      <c r="N526" s="23"/>
      <c r="O526" s="32"/>
    </row>
    <row r="527" spans="1:15" s="17" customFormat="1" ht="185.25" hidden="1" x14ac:dyDescent="0.45">
      <c r="A527" s="17">
        <v>254</v>
      </c>
      <c r="D527" s="17" t="s">
        <v>655</v>
      </c>
      <c r="E527" s="17" t="s">
        <v>1012</v>
      </c>
      <c r="F527" s="17" t="s">
        <v>655</v>
      </c>
      <c r="G527" s="17" t="s">
        <v>656</v>
      </c>
      <c r="H527" s="18" t="s">
        <v>1315</v>
      </c>
      <c r="I527" s="18"/>
      <c r="J527" s="17" t="s">
        <v>56</v>
      </c>
      <c r="M527" s="18"/>
      <c r="N527" s="18"/>
    </row>
    <row r="528" spans="1:15" s="17" customFormat="1" hidden="1" x14ac:dyDescent="0.45">
      <c r="A528" s="17">
        <v>255</v>
      </c>
      <c r="D528" s="17" t="s">
        <v>1316</v>
      </c>
      <c r="E528" s="17" t="s">
        <v>1012</v>
      </c>
      <c r="F528" s="17" t="s">
        <v>644</v>
      </c>
      <c r="G528" s="17" t="s">
        <v>567</v>
      </c>
      <c r="H528" s="18" t="s">
        <v>1317</v>
      </c>
      <c r="I528" s="18"/>
      <c r="J528" s="17" t="s">
        <v>56</v>
      </c>
      <c r="M528" s="18"/>
      <c r="N528" s="18"/>
    </row>
    <row r="529" spans="1:15" s="17" customFormat="1" ht="42.75" hidden="1" x14ac:dyDescent="0.45">
      <c r="A529" s="17">
        <v>256</v>
      </c>
      <c r="D529" s="17" t="s">
        <v>1318</v>
      </c>
      <c r="E529" s="17" t="s">
        <v>1012</v>
      </c>
      <c r="F529" s="17" t="s">
        <v>637</v>
      </c>
      <c r="G529" s="17" t="s">
        <v>567</v>
      </c>
      <c r="H529" s="18" t="s">
        <v>1319</v>
      </c>
      <c r="I529" s="18"/>
      <c r="J529" s="17" t="s">
        <v>56</v>
      </c>
      <c r="M529" s="18"/>
      <c r="N529" s="18"/>
    </row>
    <row r="530" spans="1:15" s="17" customFormat="1" ht="171" hidden="1" x14ac:dyDescent="0.45">
      <c r="A530" s="17">
        <v>257</v>
      </c>
      <c r="D530" s="17" t="s">
        <v>1320</v>
      </c>
      <c r="E530" s="17" t="s">
        <v>1012</v>
      </c>
      <c r="F530" s="17" t="s">
        <v>1269</v>
      </c>
      <c r="G530" s="17" t="s">
        <v>656</v>
      </c>
      <c r="H530" s="18" t="s">
        <v>1321</v>
      </c>
      <c r="I530" s="18"/>
      <c r="J530" s="17" t="s">
        <v>56</v>
      </c>
      <c r="L530" s="17" t="s">
        <v>297</v>
      </c>
      <c r="M530" s="23" t="s">
        <v>298</v>
      </c>
      <c r="N530" s="23"/>
      <c r="O530" s="32"/>
    </row>
    <row r="531" spans="1:15" s="17" customFormat="1" ht="28.5" hidden="1" x14ac:dyDescent="0.45">
      <c r="A531" s="17">
        <v>258</v>
      </c>
      <c r="D531" s="17" t="s">
        <v>1322</v>
      </c>
      <c r="E531" s="17" t="s">
        <v>1012</v>
      </c>
      <c r="F531" s="17" t="s">
        <v>644</v>
      </c>
      <c r="G531" s="17" t="s">
        <v>567</v>
      </c>
      <c r="H531" s="18" t="s">
        <v>1323</v>
      </c>
      <c r="I531" s="18"/>
      <c r="J531" s="17" t="s">
        <v>56</v>
      </c>
      <c r="M531" s="18"/>
      <c r="N531" s="18"/>
    </row>
    <row r="532" spans="1:15" s="17" customFormat="1" hidden="1" x14ac:dyDescent="0.45">
      <c r="A532" s="17">
        <v>259</v>
      </c>
      <c r="D532" s="17" t="s">
        <v>1324</v>
      </c>
      <c r="E532" s="17" t="s">
        <v>1012</v>
      </c>
      <c r="F532" s="17" t="s">
        <v>1325</v>
      </c>
      <c r="G532" s="17" t="s">
        <v>1013</v>
      </c>
      <c r="H532" s="18">
        <v>0</v>
      </c>
      <c r="I532" s="18"/>
      <c r="J532" s="17" t="s">
        <v>56</v>
      </c>
      <c r="M532" s="18"/>
      <c r="N532" s="18"/>
    </row>
    <row r="533" spans="1:15" s="17" customFormat="1" hidden="1" x14ac:dyDescent="0.45">
      <c r="A533" s="17">
        <v>260</v>
      </c>
      <c r="D533" s="17" t="s">
        <v>1326</v>
      </c>
      <c r="E533" s="17" t="s">
        <v>1012</v>
      </c>
      <c r="F533" s="17" t="s">
        <v>650</v>
      </c>
      <c r="G533" s="17" t="s">
        <v>567</v>
      </c>
      <c r="H533" s="18" t="s">
        <v>1327</v>
      </c>
      <c r="I533" s="18"/>
      <c r="J533" s="17" t="s">
        <v>56</v>
      </c>
      <c r="M533" s="18"/>
      <c r="N533" s="18"/>
    </row>
    <row r="534" spans="1:15" s="17" customFormat="1" ht="28.5" hidden="1" x14ac:dyDescent="0.45">
      <c r="A534" s="17">
        <v>261</v>
      </c>
      <c r="D534" s="17" t="s">
        <v>1328</v>
      </c>
      <c r="E534" s="17" t="s">
        <v>1012</v>
      </c>
      <c r="F534" s="17" t="s">
        <v>644</v>
      </c>
      <c r="G534" s="17" t="s">
        <v>567</v>
      </c>
      <c r="H534" s="18" t="s">
        <v>1329</v>
      </c>
      <c r="I534" s="18"/>
      <c r="J534" s="17" t="s">
        <v>56</v>
      </c>
      <c r="M534" s="18"/>
      <c r="N534" s="18"/>
    </row>
    <row r="535" spans="1:15" s="17" customFormat="1" ht="28.5" hidden="1" x14ac:dyDescent="0.45">
      <c r="A535" s="17">
        <v>262</v>
      </c>
      <c r="D535" s="17" t="s">
        <v>1330</v>
      </c>
      <c r="E535" s="17" t="s">
        <v>1012</v>
      </c>
      <c r="F535" s="17" t="s">
        <v>1325</v>
      </c>
      <c r="G535" s="17" t="s">
        <v>1013</v>
      </c>
      <c r="H535" s="18" t="s">
        <v>1331</v>
      </c>
      <c r="I535" s="18"/>
      <c r="J535" s="17" t="s">
        <v>106</v>
      </c>
      <c r="L535" s="17" t="s">
        <v>107</v>
      </c>
      <c r="M535" s="23" t="s">
        <v>108</v>
      </c>
      <c r="N535" s="23"/>
      <c r="O535" s="32"/>
    </row>
    <row r="536" spans="1:15" s="17" customFormat="1" ht="409.5" hidden="1" x14ac:dyDescent="0.45">
      <c r="A536" s="17">
        <v>263</v>
      </c>
      <c r="D536" s="17" t="s">
        <v>1332</v>
      </c>
      <c r="E536" s="17" t="s">
        <v>1012</v>
      </c>
      <c r="F536" s="17" t="s">
        <v>1325</v>
      </c>
      <c r="G536" s="17" t="s">
        <v>1013</v>
      </c>
      <c r="H536" s="18" t="s">
        <v>1333</v>
      </c>
      <c r="I536" s="18" t="s">
        <v>1334</v>
      </c>
      <c r="J536" s="17" t="s">
        <v>56</v>
      </c>
      <c r="M536" s="18"/>
      <c r="N536" s="18"/>
    </row>
    <row r="537" spans="1:15" s="17" customFormat="1" ht="256.5" hidden="1" x14ac:dyDescent="0.45">
      <c r="A537" s="17">
        <v>264</v>
      </c>
      <c r="D537" s="17" t="s">
        <v>1335</v>
      </c>
      <c r="E537" s="17" t="s">
        <v>1012</v>
      </c>
      <c r="F537" s="17" t="s">
        <v>1080</v>
      </c>
      <c r="G537" s="17" t="s">
        <v>1081</v>
      </c>
      <c r="H537" s="18" t="s">
        <v>1336</v>
      </c>
      <c r="I537" s="18" t="s">
        <v>1334</v>
      </c>
      <c r="J537" s="17" t="s">
        <v>56</v>
      </c>
      <c r="M537" s="18"/>
      <c r="N537" s="18"/>
    </row>
    <row r="538" spans="1:15" s="17" customFormat="1" ht="28.5" hidden="1" x14ac:dyDescent="0.45">
      <c r="A538" s="17">
        <v>265</v>
      </c>
      <c r="D538" s="17" t="s">
        <v>1337</v>
      </c>
      <c r="E538" s="17" t="s">
        <v>1012</v>
      </c>
      <c r="F538" s="17" t="s">
        <v>1016</v>
      </c>
      <c r="G538" s="17" t="s">
        <v>567</v>
      </c>
      <c r="H538" s="18" t="s">
        <v>1338</v>
      </c>
      <c r="I538" s="18"/>
      <c r="J538" s="17" t="s">
        <v>56</v>
      </c>
      <c r="M538" s="18"/>
      <c r="N538" s="18"/>
    </row>
    <row r="539" spans="1:15" s="17" customFormat="1" ht="299.25" hidden="1" x14ac:dyDescent="0.45">
      <c r="A539" s="17">
        <v>266</v>
      </c>
      <c r="D539" s="17" t="s">
        <v>1339</v>
      </c>
      <c r="E539" s="17" t="s">
        <v>1012</v>
      </c>
      <c r="F539" s="17" t="s">
        <v>1325</v>
      </c>
      <c r="G539" s="17" t="s">
        <v>1013</v>
      </c>
      <c r="H539" s="18" t="s">
        <v>1340</v>
      </c>
      <c r="I539" s="18"/>
      <c r="J539" s="17" t="s">
        <v>56</v>
      </c>
      <c r="M539" s="18"/>
      <c r="N539" s="18"/>
    </row>
    <row r="540" spans="1:15" s="17" customFormat="1" ht="171" hidden="1" x14ac:dyDescent="0.45">
      <c r="A540" s="17">
        <v>267</v>
      </c>
      <c r="D540" s="17" t="s">
        <v>1341</v>
      </c>
      <c r="E540" s="17" t="s">
        <v>1012</v>
      </c>
      <c r="F540" s="17" t="s">
        <v>1341</v>
      </c>
      <c r="G540" s="17" t="s">
        <v>1077</v>
      </c>
      <c r="H540" s="18" t="s">
        <v>1342</v>
      </c>
      <c r="I540" s="18"/>
      <c r="J540" s="17" t="s">
        <v>56</v>
      </c>
      <c r="M540" s="18"/>
      <c r="N540" s="18"/>
    </row>
    <row r="541" spans="1:15" s="17" customFormat="1" ht="114" hidden="1" x14ac:dyDescent="0.45">
      <c r="A541" s="17">
        <v>268</v>
      </c>
      <c r="D541" s="17" t="s">
        <v>1343</v>
      </c>
      <c r="E541" s="17" t="s">
        <v>1012</v>
      </c>
      <c r="F541" s="17" t="s">
        <v>1023</v>
      </c>
      <c r="G541" s="17" t="s">
        <v>1024</v>
      </c>
      <c r="H541" s="18" t="s">
        <v>1344</v>
      </c>
      <c r="I541" s="18"/>
      <c r="J541" s="17" t="s">
        <v>106</v>
      </c>
      <c r="L541" s="17" t="s">
        <v>1345</v>
      </c>
      <c r="M541" s="23" t="s">
        <v>1346</v>
      </c>
      <c r="N541" s="23"/>
      <c r="O541" s="32"/>
    </row>
    <row r="542" spans="1:15" s="17" customFormat="1" ht="71.25" hidden="1" x14ac:dyDescent="0.45">
      <c r="A542" s="17">
        <v>269</v>
      </c>
      <c r="D542" s="17" t="s">
        <v>1347</v>
      </c>
      <c r="E542" s="17" t="s">
        <v>1012</v>
      </c>
      <c r="F542" s="17" t="s">
        <v>1325</v>
      </c>
      <c r="G542" s="17" t="s">
        <v>1013</v>
      </c>
      <c r="H542" s="18" t="s">
        <v>1348</v>
      </c>
      <c r="I542" s="18"/>
      <c r="J542" s="17" t="s">
        <v>56</v>
      </c>
      <c r="M542" s="18"/>
      <c r="N542" s="18"/>
    </row>
    <row r="543" spans="1:15" s="17" customFormat="1" ht="313.5" hidden="1" x14ac:dyDescent="0.45">
      <c r="A543" s="17">
        <v>270</v>
      </c>
      <c r="D543" s="17" t="s">
        <v>1349</v>
      </c>
      <c r="E543" s="17" t="s">
        <v>1012</v>
      </c>
      <c r="F543" s="17" t="s">
        <v>1033</v>
      </c>
      <c r="G543" s="17" t="s">
        <v>1034</v>
      </c>
      <c r="H543" s="18" t="s">
        <v>1350</v>
      </c>
      <c r="I543" s="18"/>
      <c r="J543" s="17" t="s">
        <v>56</v>
      </c>
      <c r="M543" s="18"/>
      <c r="N543" s="18"/>
    </row>
    <row r="544" spans="1:15" s="17" customFormat="1" ht="114" hidden="1" x14ac:dyDescent="0.45">
      <c r="A544" s="17">
        <v>271</v>
      </c>
      <c r="D544" s="17" t="s">
        <v>1033</v>
      </c>
      <c r="E544" s="17" t="s">
        <v>1012</v>
      </c>
      <c r="F544" s="17" t="s">
        <v>1033</v>
      </c>
      <c r="G544" s="17" t="s">
        <v>1034</v>
      </c>
      <c r="H544" s="18" t="s">
        <v>1351</v>
      </c>
      <c r="I544" s="18"/>
      <c r="J544" s="17" t="s">
        <v>141</v>
      </c>
      <c r="L544" s="17" t="s">
        <v>107</v>
      </c>
      <c r="M544" s="23" t="s">
        <v>108</v>
      </c>
      <c r="N544" s="23"/>
      <c r="O544" s="32"/>
    </row>
    <row r="545" spans="1:15" s="17" customFormat="1" ht="213.75" hidden="1" x14ac:dyDescent="0.45">
      <c r="A545" s="17">
        <v>272</v>
      </c>
      <c r="D545" s="17" t="s">
        <v>1352</v>
      </c>
      <c r="E545" s="17" t="s">
        <v>1012</v>
      </c>
      <c r="F545" s="17" t="s">
        <v>1011</v>
      </c>
      <c r="G545" s="17" t="s">
        <v>1013</v>
      </c>
      <c r="H545" s="18" t="s">
        <v>1353</v>
      </c>
      <c r="I545" s="18"/>
      <c r="J545" s="17" t="s">
        <v>141</v>
      </c>
      <c r="L545" s="17" t="s">
        <v>107</v>
      </c>
      <c r="M545" s="23" t="s">
        <v>108</v>
      </c>
      <c r="N545" s="23"/>
      <c r="O545" s="32"/>
    </row>
    <row r="546" spans="1:15" s="17" customFormat="1" ht="28.5" hidden="1" x14ac:dyDescent="0.45">
      <c r="A546" s="17">
        <v>273</v>
      </c>
      <c r="D546" s="17" t="s">
        <v>1354</v>
      </c>
      <c r="E546" s="17" t="s">
        <v>1012</v>
      </c>
      <c r="F546" s="17" t="s">
        <v>644</v>
      </c>
      <c r="G546" s="17" t="s">
        <v>567</v>
      </c>
      <c r="H546" s="18" t="s">
        <v>1355</v>
      </c>
      <c r="I546" s="18"/>
      <c r="J546" s="17" t="s">
        <v>56</v>
      </c>
      <c r="M546" s="18"/>
      <c r="N546" s="18"/>
    </row>
    <row r="547" spans="1:15" s="17" customFormat="1" ht="285" hidden="1" x14ac:dyDescent="0.45">
      <c r="A547" s="17">
        <v>274</v>
      </c>
      <c r="D547" s="17" t="s">
        <v>1356</v>
      </c>
      <c r="E547" s="17" t="s">
        <v>1012</v>
      </c>
      <c r="F547" s="17" t="s">
        <v>1271</v>
      </c>
      <c r="G547" s="17" t="s">
        <v>1357</v>
      </c>
      <c r="H547" s="18" t="s">
        <v>1358</v>
      </c>
      <c r="I547" s="18"/>
      <c r="J547" s="17" t="s">
        <v>56</v>
      </c>
      <c r="M547" s="18"/>
      <c r="N547" s="18"/>
    </row>
    <row r="548" spans="1:15" s="17" customFormat="1" ht="28.5" hidden="1" x14ac:dyDescent="0.45">
      <c r="A548" s="17">
        <v>275</v>
      </c>
      <c r="D548" s="17" t="s">
        <v>1359</v>
      </c>
      <c r="E548" s="17" t="s">
        <v>1012</v>
      </c>
      <c r="F548" s="17" t="s">
        <v>642</v>
      </c>
      <c r="G548" s="17" t="s">
        <v>567</v>
      </c>
      <c r="H548" s="18" t="s">
        <v>1360</v>
      </c>
      <c r="I548" s="18"/>
      <c r="J548" s="17" t="s">
        <v>56</v>
      </c>
      <c r="M548" s="18"/>
      <c r="N548" s="18"/>
    </row>
    <row r="549" spans="1:15" s="17" customFormat="1" ht="57" hidden="1" x14ac:dyDescent="0.45">
      <c r="A549" s="17">
        <v>276</v>
      </c>
      <c r="D549" s="17" t="s">
        <v>1361</v>
      </c>
      <c r="E549" s="17" t="s">
        <v>1012</v>
      </c>
      <c r="F549" s="17" t="s">
        <v>1239</v>
      </c>
      <c r="G549" s="17" t="s">
        <v>1060</v>
      </c>
      <c r="H549" s="18" t="s">
        <v>1362</v>
      </c>
      <c r="I549" s="18"/>
      <c r="J549" s="17" t="s">
        <v>56</v>
      </c>
      <c r="M549" s="18"/>
      <c r="N549" s="18"/>
    </row>
    <row r="550" spans="1:15" s="17" customFormat="1" ht="242.25" hidden="1" x14ac:dyDescent="0.45">
      <c r="A550" s="17">
        <v>277</v>
      </c>
      <c r="D550" s="17" t="s">
        <v>1363</v>
      </c>
      <c r="E550" s="17" t="s">
        <v>1012</v>
      </c>
      <c r="F550" s="17" t="s">
        <v>1093</v>
      </c>
      <c r="G550" s="17" t="s">
        <v>1034</v>
      </c>
      <c r="H550" s="18" t="s">
        <v>1364</v>
      </c>
      <c r="I550" s="18"/>
      <c r="J550" s="17" t="s">
        <v>56</v>
      </c>
      <c r="M550" s="18"/>
      <c r="N550" s="18"/>
    </row>
    <row r="551" spans="1:15" s="17" customFormat="1" ht="28.5" hidden="1" x14ac:dyDescent="0.45">
      <c r="A551" s="17">
        <v>278</v>
      </c>
      <c r="D551" s="17" t="s">
        <v>1365</v>
      </c>
      <c r="E551" s="17" t="s">
        <v>1012</v>
      </c>
      <c r="F551" s="17" t="s">
        <v>644</v>
      </c>
      <c r="G551" s="17" t="s">
        <v>567</v>
      </c>
      <c r="H551" s="18" t="s">
        <v>1366</v>
      </c>
      <c r="I551" s="18"/>
      <c r="J551" s="17" t="s">
        <v>56</v>
      </c>
      <c r="M551" s="18"/>
      <c r="N551" s="18"/>
    </row>
    <row r="552" spans="1:15" s="17" customFormat="1" ht="42.75" hidden="1" x14ac:dyDescent="0.45">
      <c r="A552" s="17">
        <v>279</v>
      </c>
      <c r="D552" s="17" t="s">
        <v>1367</v>
      </c>
      <c r="E552" s="17" t="s">
        <v>1012</v>
      </c>
      <c r="F552" s="17" t="s">
        <v>642</v>
      </c>
      <c r="G552" s="17" t="s">
        <v>567</v>
      </c>
      <c r="H552" s="18" t="s">
        <v>1368</v>
      </c>
      <c r="I552" s="18"/>
      <c r="J552" s="17" t="s">
        <v>56</v>
      </c>
      <c r="M552" s="18"/>
      <c r="N552" s="18"/>
    </row>
    <row r="553" spans="1:15" s="17" customFormat="1" ht="142.5" hidden="1" x14ac:dyDescent="0.45">
      <c r="A553" s="17">
        <v>280</v>
      </c>
      <c r="D553" s="17" t="s">
        <v>1369</v>
      </c>
      <c r="E553" s="17" t="s">
        <v>1012</v>
      </c>
      <c r="F553" s="17" t="s">
        <v>1369</v>
      </c>
      <c r="G553" s="17" t="s">
        <v>1034</v>
      </c>
      <c r="H553" s="18" t="s">
        <v>1370</v>
      </c>
      <c r="I553" s="18"/>
      <c r="J553" s="17" t="s">
        <v>56</v>
      </c>
      <c r="M553" s="18"/>
      <c r="N553" s="18"/>
    </row>
    <row r="554" spans="1:15" s="17" customFormat="1" ht="28.5" hidden="1" x14ac:dyDescent="0.45">
      <c r="A554" s="17">
        <v>281</v>
      </c>
      <c r="D554" s="17" t="s">
        <v>1371</v>
      </c>
      <c r="E554" s="17" t="s">
        <v>1012</v>
      </c>
      <c r="F554" s="17" t="s">
        <v>640</v>
      </c>
      <c r="G554" s="17" t="s">
        <v>567</v>
      </c>
      <c r="H554" s="18" t="s">
        <v>1372</v>
      </c>
      <c r="I554" s="18"/>
      <c r="J554" s="17" t="s">
        <v>56</v>
      </c>
      <c r="M554" s="18"/>
      <c r="N554" s="18"/>
    </row>
    <row r="555" spans="1:15" s="17" customFormat="1" ht="399" hidden="1" x14ac:dyDescent="0.45">
      <c r="A555" s="17">
        <v>282</v>
      </c>
      <c r="D555" s="17" t="s">
        <v>1373</v>
      </c>
      <c r="E555" s="17" t="s">
        <v>1012</v>
      </c>
      <c r="F555" s="17" t="s">
        <v>1369</v>
      </c>
      <c r="G555" s="17" t="s">
        <v>1034</v>
      </c>
      <c r="H555" s="18" t="s">
        <v>1374</v>
      </c>
      <c r="I555" s="18"/>
      <c r="J555" s="17" t="s">
        <v>141</v>
      </c>
      <c r="L555" s="17" t="s">
        <v>107</v>
      </c>
      <c r="M555" s="23" t="s">
        <v>108</v>
      </c>
      <c r="N555" s="23"/>
      <c r="O555" s="32"/>
    </row>
    <row r="556" spans="1:15" s="17" customFormat="1" ht="228" hidden="1" x14ac:dyDescent="0.45">
      <c r="A556" s="17">
        <v>283</v>
      </c>
      <c r="D556" s="17" t="s">
        <v>1375</v>
      </c>
      <c r="E556" s="17" t="s">
        <v>1012</v>
      </c>
      <c r="F556" s="17" t="s">
        <v>1033</v>
      </c>
      <c r="G556" s="17" t="s">
        <v>1034</v>
      </c>
      <c r="H556" s="18" t="s">
        <v>1376</v>
      </c>
      <c r="I556" s="18"/>
      <c r="J556" s="17" t="s">
        <v>56</v>
      </c>
      <c r="M556" s="18"/>
      <c r="N556" s="18"/>
    </row>
    <row r="557" spans="1:15" s="17" customFormat="1" ht="171" hidden="1" x14ac:dyDescent="0.45">
      <c r="A557" s="17">
        <v>284</v>
      </c>
      <c r="D557" s="17" t="s">
        <v>1030</v>
      </c>
      <c r="E557" s="17" t="s">
        <v>1012</v>
      </c>
      <c r="F557" s="17" t="s">
        <v>1030</v>
      </c>
      <c r="G557" s="17" t="s">
        <v>1013</v>
      </c>
      <c r="H557" s="18" t="s">
        <v>1377</v>
      </c>
      <c r="I557" s="18"/>
      <c r="J557" s="17" t="s">
        <v>141</v>
      </c>
      <c r="L557" s="17" t="s">
        <v>107</v>
      </c>
      <c r="M557" s="23" t="s">
        <v>108</v>
      </c>
      <c r="N557" s="23"/>
      <c r="O557" s="32"/>
    </row>
    <row r="558" spans="1:15" s="17" customFormat="1" ht="99.75" hidden="1" x14ac:dyDescent="0.45">
      <c r="A558" s="17">
        <v>285</v>
      </c>
      <c r="D558" s="17" t="s">
        <v>1378</v>
      </c>
      <c r="E558" s="17" t="s">
        <v>1012</v>
      </c>
      <c r="F558" s="17" t="s">
        <v>1378</v>
      </c>
      <c r="G558" s="17" t="s">
        <v>1379</v>
      </c>
      <c r="H558" s="18" t="s">
        <v>1380</v>
      </c>
      <c r="I558" s="18"/>
      <c r="J558" s="17" t="s">
        <v>56</v>
      </c>
      <c r="M558" s="18"/>
      <c r="N558" s="18"/>
    </row>
    <row r="559" spans="1:15" s="17" customFormat="1" ht="128.25" hidden="1" x14ac:dyDescent="0.45">
      <c r="A559" s="17">
        <v>286</v>
      </c>
      <c r="D559" s="17" t="s">
        <v>1381</v>
      </c>
      <c r="E559" s="17" t="s">
        <v>1012</v>
      </c>
      <c r="H559" s="18" t="s">
        <v>1382</v>
      </c>
      <c r="I559" s="18"/>
      <c r="J559" s="17" t="s">
        <v>56</v>
      </c>
      <c r="M559" s="18"/>
      <c r="N559" s="18"/>
    </row>
    <row r="560" spans="1:15" s="17" customFormat="1" ht="85.5" hidden="1" x14ac:dyDescent="0.45">
      <c r="A560" s="17">
        <v>287</v>
      </c>
      <c r="D560" s="17" t="s">
        <v>1383</v>
      </c>
      <c r="E560" s="17" t="s">
        <v>1012</v>
      </c>
      <c r="H560" s="18" t="s">
        <v>1384</v>
      </c>
      <c r="I560" s="18"/>
      <c r="J560" s="17" t="s">
        <v>56</v>
      </c>
      <c r="M560" s="18"/>
      <c r="N560" s="18"/>
    </row>
    <row r="561" spans="1:15" s="17" customFormat="1" ht="128.25" hidden="1" x14ac:dyDescent="0.45">
      <c r="A561" s="17">
        <v>288</v>
      </c>
      <c r="D561" s="17" t="s">
        <v>1385</v>
      </c>
      <c r="E561" s="17" t="s">
        <v>1012</v>
      </c>
      <c r="H561" s="18" t="s">
        <v>1386</v>
      </c>
      <c r="I561" s="18"/>
      <c r="J561" s="17" t="s">
        <v>56</v>
      </c>
      <c r="L561" s="17" t="s">
        <v>336</v>
      </c>
      <c r="M561" s="23" t="s">
        <v>337</v>
      </c>
      <c r="N561" s="23"/>
      <c r="O561" s="32"/>
    </row>
    <row r="562" spans="1:15" s="17" customFormat="1" ht="28.5" hidden="1" x14ac:dyDescent="0.45">
      <c r="A562" s="17">
        <v>289</v>
      </c>
      <c r="D562" s="17" t="s">
        <v>1387</v>
      </c>
      <c r="E562" s="17" t="s">
        <v>1012</v>
      </c>
      <c r="H562" s="18" t="s">
        <v>1388</v>
      </c>
      <c r="I562" s="18"/>
      <c r="J562" s="17" t="s">
        <v>56</v>
      </c>
      <c r="M562" s="18"/>
      <c r="N562" s="18"/>
    </row>
    <row r="563" spans="1:15" s="17" customFormat="1" ht="114" hidden="1" x14ac:dyDescent="0.45">
      <c r="A563" s="17">
        <v>290</v>
      </c>
      <c r="D563" s="17" t="s">
        <v>1065</v>
      </c>
      <c r="E563" s="17" t="s">
        <v>1012</v>
      </c>
      <c r="H563" s="18" t="s">
        <v>1389</v>
      </c>
      <c r="I563" s="18"/>
      <c r="J563" s="17" t="s">
        <v>56</v>
      </c>
      <c r="M563" s="18"/>
      <c r="N563" s="18"/>
    </row>
    <row r="564" spans="1:15" s="17" customFormat="1" ht="57" hidden="1" x14ac:dyDescent="0.45">
      <c r="A564" s="17">
        <v>291</v>
      </c>
      <c r="D564" s="17" t="s">
        <v>1390</v>
      </c>
      <c r="E564" s="17" t="s">
        <v>1012</v>
      </c>
      <c r="H564" s="18" t="s">
        <v>1391</v>
      </c>
      <c r="I564" s="18"/>
      <c r="J564" s="17" t="s">
        <v>56</v>
      </c>
      <c r="M564" s="18"/>
      <c r="N564" s="18"/>
    </row>
    <row r="565" spans="1:15" s="17" customFormat="1" ht="156.75" hidden="1" x14ac:dyDescent="0.45">
      <c r="A565" s="17">
        <v>292</v>
      </c>
      <c r="D565" s="17" t="s">
        <v>1392</v>
      </c>
      <c r="E565" s="17" t="s">
        <v>1012</v>
      </c>
      <c r="H565" s="18" t="s">
        <v>1393</v>
      </c>
      <c r="I565" s="18"/>
      <c r="J565" s="17" t="s">
        <v>56</v>
      </c>
      <c r="M565" s="18"/>
      <c r="N565" s="18"/>
    </row>
    <row r="566" spans="1:15" s="17" customFormat="1" ht="99.75" hidden="1" x14ac:dyDescent="0.45">
      <c r="A566" s="17">
        <v>293</v>
      </c>
      <c r="D566" s="17" t="s">
        <v>1394</v>
      </c>
      <c r="E566" s="17" t="s">
        <v>1012</v>
      </c>
      <c r="H566" s="18" t="s">
        <v>1395</v>
      </c>
      <c r="I566" s="18"/>
      <c r="J566" s="17" t="s">
        <v>56</v>
      </c>
      <c r="M566" s="18"/>
      <c r="N566" s="18"/>
    </row>
    <row r="567" spans="1:15" s="17" customFormat="1" ht="28.5" hidden="1" x14ac:dyDescent="0.45">
      <c r="A567" s="17">
        <v>294</v>
      </c>
      <c r="D567" s="17" t="s">
        <v>1396</v>
      </c>
      <c r="E567" s="17" t="s">
        <v>1012</v>
      </c>
      <c r="H567" s="18" t="s">
        <v>1397</v>
      </c>
      <c r="I567" s="18"/>
      <c r="J567" s="17" t="s">
        <v>56</v>
      </c>
      <c r="M567" s="18"/>
      <c r="N567" s="18"/>
    </row>
    <row r="568" spans="1:15" s="17" customFormat="1" ht="85.5" hidden="1" x14ac:dyDescent="0.45">
      <c r="A568" s="17">
        <v>295</v>
      </c>
      <c r="D568" s="17" t="s">
        <v>1398</v>
      </c>
      <c r="E568" s="17" t="s">
        <v>1012</v>
      </c>
      <c r="H568" s="18" t="s">
        <v>1399</v>
      </c>
      <c r="I568" s="18"/>
      <c r="J568" s="17" t="s">
        <v>56</v>
      </c>
      <c r="M568" s="18"/>
      <c r="N568" s="18"/>
    </row>
    <row r="569" spans="1:15" s="17" customFormat="1" ht="285" hidden="1" x14ac:dyDescent="0.45">
      <c r="A569" s="17">
        <v>296</v>
      </c>
      <c r="D569" s="17" t="s">
        <v>1400</v>
      </c>
      <c r="E569" s="17" t="s">
        <v>1012</v>
      </c>
      <c r="H569" s="18" t="s">
        <v>1401</v>
      </c>
      <c r="I569" s="18"/>
      <c r="J569" s="17" t="s">
        <v>56</v>
      </c>
      <c r="M569" s="18"/>
      <c r="N569" s="18"/>
    </row>
    <row r="570" spans="1:15" s="17" customFormat="1" ht="57" hidden="1" x14ac:dyDescent="0.45">
      <c r="A570" s="17">
        <v>297</v>
      </c>
      <c r="D570" s="17" t="s">
        <v>1402</v>
      </c>
      <c r="E570" s="17" t="s">
        <v>1012</v>
      </c>
      <c r="H570" s="18" t="s">
        <v>1403</v>
      </c>
      <c r="I570" s="18"/>
      <c r="J570" s="17" t="s">
        <v>56</v>
      </c>
      <c r="L570" s="17" t="s">
        <v>195</v>
      </c>
      <c r="M570" s="23" t="s">
        <v>196</v>
      </c>
      <c r="N570" s="23"/>
      <c r="O570" s="32"/>
    </row>
    <row r="571" spans="1:15" s="17" customFormat="1" ht="409.5" hidden="1" x14ac:dyDescent="0.45">
      <c r="A571" s="17">
        <v>298</v>
      </c>
      <c r="D571" s="17" t="s">
        <v>1404</v>
      </c>
      <c r="E571" s="17" t="s">
        <v>1012</v>
      </c>
      <c r="H571" s="18" t="s">
        <v>1405</v>
      </c>
      <c r="I571" s="18"/>
      <c r="J571" s="17" t="s">
        <v>106</v>
      </c>
      <c r="L571" s="17" t="s">
        <v>107</v>
      </c>
      <c r="M571" s="23" t="s">
        <v>108</v>
      </c>
      <c r="N571" s="23"/>
      <c r="O571" s="32"/>
    </row>
    <row r="572" spans="1:15" s="17" customFormat="1" ht="313.5" hidden="1" x14ac:dyDescent="0.45">
      <c r="A572" s="17">
        <v>299</v>
      </c>
      <c r="D572" s="17" t="s">
        <v>1406</v>
      </c>
      <c r="E572" s="17" t="s">
        <v>1012</v>
      </c>
      <c r="H572" s="18" t="s">
        <v>1407</v>
      </c>
      <c r="I572" s="18"/>
      <c r="J572" s="17" t="s">
        <v>106</v>
      </c>
      <c r="L572" s="17" t="s">
        <v>107</v>
      </c>
      <c r="M572" s="23" t="s">
        <v>108</v>
      </c>
      <c r="N572" s="23"/>
      <c r="O572" s="32"/>
    </row>
    <row r="573" spans="1:15" s="17" customFormat="1" ht="28.5" hidden="1" x14ac:dyDescent="0.45">
      <c r="A573" s="17">
        <v>300</v>
      </c>
      <c r="D573" s="17" t="s">
        <v>1408</v>
      </c>
      <c r="E573" s="17" t="s">
        <v>1012</v>
      </c>
      <c r="H573" s="18" t="s">
        <v>1409</v>
      </c>
      <c r="I573" s="18"/>
      <c r="J573" s="17" t="s">
        <v>56</v>
      </c>
      <c r="M573" s="18"/>
      <c r="N573" s="18"/>
    </row>
    <row r="574" spans="1:15" s="17" customFormat="1" ht="42.75" hidden="1" x14ac:dyDescent="0.45">
      <c r="A574" s="17">
        <v>301</v>
      </c>
      <c r="D574" s="17" t="s">
        <v>1410</v>
      </c>
      <c r="E574" s="17" t="s">
        <v>1012</v>
      </c>
      <c r="H574" s="18" t="s">
        <v>1411</v>
      </c>
      <c r="I574" s="18"/>
      <c r="J574" s="17" t="s">
        <v>56</v>
      </c>
      <c r="M574" s="18"/>
      <c r="N574" s="18"/>
    </row>
    <row r="575" spans="1:15" s="17" customFormat="1" ht="28.5" hidden="1" x14ac:dyDescent="0.45">
      <c r="A575" s="17">
        <v>302</v>
      </c>
      <c r="D575" s="17" t="s">
        <v>1412</v>
      </c>
      <c r="E575" s="17" t="s">
        <v>1012</v>
      </c>
      <c r="H575" s="18" t="s">
        <v>1413</v>
      </c>
      <c r="I575" s="18"/>
      <c r="J575" s="17" t="s">
        <v>56</v>
      </c>
      <c r="M575" s="18"/>
      <c r="N575" s="18"/>
    </row>
    <row r="576" spans="1:15" s="17" customFormat="1" ht="299.25" hidden="1" x14ac:dyDescent="0.45">
      <c r="A576" s="17">
        <v>303</v>
      </c>
      <c r="D576" s="17" t="s">
        <v>1414</v>
      </c>
      <c r="E576" s="17" t="s">
        <v>1012</v>
      </c>
      <c r="H576" s="18" t="s">
        <v>1415</v>
      </c>
      <c r="I576" s="18"/>
      <c r="J576" s="17" t="s">
        <v>56</v>
      </c>
      <c r="M576" s="18"/>
      <c r="N576" s="18"/>
    </row>
    <row r="577" spans="1:15" s="17" customFormat="1" ht="28.5" hidden="1" x14ac:dyDescent="0.45">
      <c r="A577" s="17">
        <v>304</v>
      </c>
      <c r="D577" s="17" t="s">
        <v>1416</v>
      </c>
      <c r="E577" s="17" t="s">
        <v>1012</v>
      </c>
      <c r="H577" s="18" t="s">
        <v>1417</v>
      </c>
      <c r="I577" s="18"/>
      <c r="J577" s="17" t="s">
        <v>56</v>
      </c>
      <c r="M577" s="18"/>
      <c r="N577" s="18"/>
    </row>
    <row r="578" spans="1:15" s="17" customFormat="1" ht="42.75" hidden="1" x14ac:dyDescent="0.45">
      <c r="A578" s="17">
        <v>305</v>
      </c>
      <c r="D578" s="17" t="s">
        <v>1418</v>
      </c>
      <c r="E578" s="17" t="s">
        <v>1012</v>
      </c>
      <c r="H578" s="18" t="s">
        <v>1419</v>
      </c>
      <c r="I578" s="18"/>
      <c r="J578" s="17" t="s">
        <v>56</v>
      </c>
      <c r="M578" s="18"/>
      <c r="N578" s="18"/>
    </row>
    <row r="579" spans="1:15" s="17" customFormat="1" hidden="1" x14ac:dyDescent="0.45">
      <c r="A579" s="17">
        <v>306</v>
      </c>
      <c r="D579" s="17" t="s">
        <v>1420</v>
      </c>
      <c r="E579" s="17" t="s">
        <v>1012</v>
      </c>
      <c r="H579" s="18" t="s">
        <v>1421</v>
      </c>
      <c r="I579" s="18"/>
      <c r="J579" s="17" t="s">
        <v>56</v>
      </c>
      <c r="M579" s="18"/>
      <c r="N579" s="18"/>
    </row>
    <row r="580" spans="1:15" s="17" customFormat="1" ht="142.5" hidden="1" x14ac:dyDescent="0.45">
      <c r="A580" s="17">
        <v>307</v>
      </c>
      <c r="D580" s="17" t="s">
        <v>1422</v>
      </c>
      <c r="E580" s="17" t="s">
        <v>1012</v>
      </c>
      <c r="H580" s="18" t="s">
        <v>1423</v>
      </c>
      <c r="I580" s="18"/>
      <c r="J580" s="17" t="s">
        <v>56</v>
      </c>
      <c r="M580" s="18"/>
      <c r="N580" s="18"/>
    </row>
    <row r="581" spans="1:15" s="17" customFormat="1" ht="142.5" hidden="1" x14ac:dyDescent="0.45">
      <c r="A581" s="17">
        <v>308</v>
      </c>
      <c r="D581" s="17" t="s">
        <v>1424</v>
      </c>
      <c r="E581" s="17" t="s">
        <v>1012</v>
      </c>
      <c r="H581" s="18" t="s">
        <v>1425</v>
      </c>
      <c r="I581" s="18"/>
      <c r="J581" s="17" t="s">
        <v>106</v>
      </c>
      <c r="L581" s="17" t="s">
        <v>107</v>
      </c>
      <c r="M581" s="23" t="s">
        <v>108</v>
      </c>
      <c r="N581" s="23"/>
      <c r="O581" s="32"/>
    </row>
    <row r="582" spans="1:15" s="17" customFormat="1" ht="409.5" hidden="1" x14ac:dyDescent="0.45">
      <c r="A582" s="17">
        <v>309</v>
      </c>
      <c r="D582" s="17" t="s">
        <v>1426</v>
      </c>
      <c r="E582" s="17" t="s">
        <v>1012</v>
      </c>
      <c r="H582" s="18" t="s">
        <v>1427</v>
      </c>
      <c r="I582" s="18"/>
      <c r="J582" s="17" t="s">
        <v>56</v>
      </c>
      <c r="M582" s="18"/>
      <c r="N582" s="18"/>
    </row>
    <row r="583" spans="1:15" s="17" customFormat="1" ht="185.25" hidden="1" x14ac:dyDescent="0.45">
      <c r="A583" s="17">
        <v>310</v>
      </c>
      <c r="D583" s="17" t="s">
        <v>1428</v>
      </c>
      <c r="E583" s="17" t="s">
        <v>1012</v>
      </c>
      <c r="H583" s="18" t="s">
        <v>1429</v>
      </c>
      <c r="I583" s="18"/>
      <c r="J583" s="17" t="s">
        <v>56</v>
      </c>
      <c r="M583" s="18"/>
      <c r="N583" s="18"/>
    </row>
    <row r="584" spans="1:15" s="17" customFormat="1" ht="57" hidden="1" x14ac:dyDescent="0.45">
      <c r="A584" s="17">
        <v>311</v>
      </c>
      <c r="D584" s="17" t="s">
        <v>1430</v>
      </c>
      <c r="E584" s="17" t="s">
        <v>1012</v>
      </c>
      <c r="H584" s="18" t="s">
        <v>1431</v>
      </c>
      <c r="I584" s="18"/>
      <c r="J584" s="17" t="s">
        <v>56</v>
      </c>
      <c r="M584" s="18"/>
      <c r="N584" s="18"/>
    </row>
    <row r="585" spans="1:15" s="17" customFormat="1" ht="114" hidden="1" x14ac:dyDescent="0.45">
      <c r="A585" s="17">
        <v>312</v>
      </c>
      <c r="D585" s="17" t="s">
        <v>1432</v>
      </c>
      <c r="E585" s="17" t="s">
        <v>1012</v>
      </c>
      <c r="H585" s="18"/>
      <c r="I585" s="18"/>
      <c r="J585" s="17" t="s">
        <v>106</v>
      </c>
      <c r="L585" s="17" t="s">
        <v>248</v>
      </c>
      <c r="M585" s="23" t="s">
        <v>249</v>
      </c>
      <c r="N585" s="23"/>
      <c r="O585" s="32"/>
    </row>
    <row r="586" spans="1:15" s="17" customFormat="1" hidden="1" x14ac:dyDescent="0.45">
      <c r="A586" s="17">
        <v>313</v>
      </c>
      <c r="D586" s="17" t="s">
        <v>1433</v>
      </c>
      <c r="E586" s="17" t="s">
        <v>1012</v>
      </c>
      <c r="H586" s="18"/>
      <c r="I586" s="18"/>
      <c r="J586" s="17" t="s">
        <v>56</v>
      </c>
      <c r="M586" s="18"/>
      <c r="N586" s="18"/>
    </row>
    <row r="587" spans="1:15" s="17" customFormat="1" ht="156.75" hidden="1" x14ac:dyDescent="0.45">
      <c r="A587" s="17">
        <v>314</v>
      </c>
      <c r="D587" s="17" t="s">
        <v>1434</v>
      </c>
      <c r="E587" s="17" t="s">
        <v>1012</v>
      </c>
      <c r="H587" s="18" t="s">
        <v>1435</v>
      </c>
      <c r="I587" s="18"/>
      <c r="J587" s="17" t="s">
        <v>56</v>
      </c>
      <c r="M587" s="18"/>
      <c r="N587" s="18"/>
    </row>
    <row r="588" spans="1:15" s="17" customFormat="1" hidden="1" x14ac:dyDescent="0.45">
      <c r="A588" s="17">
        <v>315</v>
      </c>
      <c r="D588" s="17" t="s">
        <v>1436</v>
      </c>
      <c r="E588" s="17" t="s">
        <v>1012</v>
      </c>
      <c r="H588" s="18" t="s">
        <v>1437</v>
      </c>
      <c r="I588" s="18"/>
      <c r="J588" s="17" t="s">
        <v>56</v>
      </c>
      <c r="M588" s="18"/>
      <c r="N588" s="18"/>
    </row>
    <row r="589" spans="1:15" s="17" customFormat="1" ht="299.25" hidden="1" x14ac:dyDescent="0.45">
      <c r="A589" s="17">
        <v>316</v>
      </c>
      <c r="D589" s="17" t="s">
        <v>1438</v>
      </c>
      <c r="E589" s="17" t="s">
        <v>1012</v>
      </c>
      <c r="H589" s="18" t="s">
        <v>1439</v>
      </c>
      <c r="I589" s="18"/>
      <c r="J589" s="17" t="s">
        <v>56</v>
      </c>
      <c r="M589" s="18"/>
      <c r="N589" s="18"/>
    </row>
    <row r="590" spans="1:15" s="17" customFormat="1" ht="409.5" hidden="1" x14ac:dyDescent="0.45">
      <c r="A590" s="17">
        <v>317</v>
      </c>
      <c r="D590" s="17" t="s">
        <v>1440</v>
      </c>
      <c r="E590" s="17" t="s">
        <v>1012</v>
      </c>
      <c r="H590" s="18" t="s">
        <v>1441</v>
      </c>
      <c r="I590" s="18"/>
      <c r="J590" s="17" t="s">
        <v>141</v>
      </c>
      <c r="L590" s="17" t="s">
        <v>107</v>
      </c>
      <c r="M590" s="23" t="s">
        <v>108</v>
      </c>
      <c r="N590" s="23"/>
      <c r="O590" s="32"/>
    </row>
    <row r="591" spans="1:15" s="17" customFormat="1" ht="28.5" hidden="1" x14ac:dyDescent="0.45">
      <c r="A591" s="17">
        <v>318</v>
      </c>
      <c r="D591" s="17" t="s">
        <v>1442</v>
      </c>
      <c r="E591" s="17" t="s">
        <v>1012</v>
      </c>
      <c r="H591" s="18"/>
      <c r="I591" s="18"/>
      <c r="J591" s="17" t="s">
        <v>106</v>
      </c>
      <c r="L591" s="17" t="s">
        <v>107</v>
      </c>
      <c r="M591" s="23" t="s">
        <v>108</v>
      </c>
      <c r="N591" s="23"/>
      <c r="O591" s="32"/>
    </row>
    <row r="592" spans="1:15" s="17" customFormat="1" ht="28.5" hidden="1" x14ac:dyDescent="0.45">
      <c r="A592" s="17">
        <v>319</v>
      </c>
      <c r="D592" s="17" t="s">
        <v>1443</v>
      </c>
      <c r="E592" s="17" t="s">
        <v>1012</v>
      </c>
      <c r="H592" s="18"/>
      <c r="I592" s="18"/>
      <c r="J592" s="17" t="s">
        <v>225</v>
      </c>
      <c r="L592" s="17" t="s">
        <v>107</v>
      </c>
      <c r="M592" s="23" t="s">
        <v>108</v>
      </c>
      <c r="N592" s="23"/>
      <c r="O592" s="32"/>
    </row>
    <row r="593" spans="1:15" s="17" customFormat="1" ht="28.5" hidden="1" x14ac:dyDescent="0.45">
      <c r="A593" s="17">
        <v>320</v>
      </c>
      <c r="D593" s="17" t="s">
        <v>1444</v>
      </c>
      <c r="E593" s="17" t="s">
        <v>1012</v>
      </c>
      <c r="H593" s="18"/>
      <c r="I593" s="18"/>
      <c r="J593" s="17" t="s">
        <v>225</v>
      </c>
      <c r="L593" s="17" t="s">
        <v>107</v>
      </c>
      <c r="M593" s="23" t="s">
        <v>108</v>
      </c>
      <c r="N593" s="23"/>
      <c r="O593" s="32"/>
    </row>
    <row r="594" spans="1:15" s="17" customFormat="1" ht="142.5" hidden="1" x14ac:dyDescent="0.45">
      <c r="A594" s="17">
        <v>321</v>
      </c>
      <c r="D594" s="17" t="s">
        <v>1325</v>
      </c>
      <c r="E594" s="17" t="s">
        <v>1012</v>
      </c>
      <c r="H594" s="18" t="s">
        <v>1445</v>
      </c>
      <c r="I594" s="18"/>
      <c r="J594" s="17" t="s">
        <v>56</v>
      </c>
      <c r="M594" s="18"/>
      <c r="N594" s="18"/>
    </row>
    <row r="595" spans="1:15" s="17" customFormat="1" ht="156.75" hidden="1" x14ac:dyDescent="0.45">
      <c r="A595" s="17">
        <v>322</v>
      </c>
      <c r="D595" s="17" t="s">
        <v>1446</v>
      </c>
      <c r="E595" s="17" t="s">
        <v>1012</v>
      </c>
      <c r="H595" s="18" t="s">
        <v>1447</v>
      </c>
      <c r="I595" s="18"/>
      <c r="J595" s="17" t="s">
        <v>56</v>
      </c>
      <c r="L595" s="17" t="s">
        <v>297</v>
      </c>
      <c r="M595" s="23" t="s">
        <v>298</v>
      </c>
      <c r="N595" s="23"/>
      <c r="O595" s="32"/>
    </row>
    <row r="596" spans="1:15" s="17" customFormat="1" hidden="1" x14ac:dyDescent="0.45">
      <c r="A596" s="17">
        <v>323</v>
      </c>
      <c r="D596" s="17" t="s">
        <v>1448</v>
      </c>
      <c r="E596" s="17" t="s">
        <v>1012</v>
      </c>
      <c r="H596" s="18"/>
      <c r="I596" s="18"/>
      <c r="J596" s="17" t="s">
        <v>56</v>
      </c>
      <c r="M596" s="18"/>
      <c r="N596" s="18"/>
    </row>
    <row r="597" spans="1:15" s="17" customFormat="1" ht="114" hidden="1" x14ac:dyDescent="0.45">
      <c r="A597" s="17">
        <v>324</v>
      </c>
      <c r="D597" s="17" t="s">
        <v>1449</v>
      </c>
      <c r="E597" s="17" t="s">
        <v>1012</v>
      </c>
      <c r="H597" s="18" t="s">
        <v>1450</v>
      </c>
      <c r="I597" s="18"/>
      <c r="J597" s="17" t="s">
        <v>56</v>
      </c>
      <c r="M597" s="18"/>
      <c r="N597" s="18"/>
    </row>
    <row r="598" spans="1:15" s="17" customFormat="1" ht="114" hidden="1" x14ac:dyDescent="0.45">
      <c r="A598" s="17">
        <v>325</v>
      </c>
      <c r="D598" s="17" t="s">
        <v>1451</v>
      </c>
      <c r="E598" s="17" t="s">
        <v>1012</v>
      </c>
      <c r="H598" s="18" t="s">
        <v>1452</v>
      </c>
      <c r="I598" s="18"/>
      <c r="J598" s="17" t="s">
        <v>56</v>
      </c>
      <c r="M598" s="18"/>
      <c r="N598" s="18"/>
    </row>
    <row r="599" spans="1:15" s="17" customFormat="1" ht="99.75" hidden="1" x14ac:dyDescent="0.45">
      <c r="A599" s="17">
        <v>326</v>
      </c>
      <c r="D599" s="17" t="s">
        <v>1453</v>
      </c>
      <c r="E599" s="17" t="s">
        <v>1012</v>
      </c>
      <c r="H599" s="18" t="s">
        <v>1454</v>
      </c>
      <c r="I599" s="18"/>
      <c r="J599" s="17" t="s">
        <v>56</v>
      </c>
      <c r="M599" s="18"/>
      <c r="N599" s="18"/>
    </row>
    <row r="600" spans="1:15" s="17" customFormat="1" ht="42.75" hidden="1" x14ac:dyDescent="0.45">
      <c r="A600" s="17">
        <v>327</v>
      </c>
      <c r="D600" s="17" t="s">
        <v>1455</v>
      </c>
      <c r="E600" s="17" t="s">
        <v>1012</v>
      </c>
      <c r="H600" s="18" t="s">
        <v>1456</v>
      </c>
      <c r="I600" s="18"/>
      <c r="J600" s="17" t="s">
        <v>106</v>
      </c>
      <c r="L600" s="17" t="s">
        <v>107</v>
      </c>
      <c r="M600" s="23" t="s">
        <v>108</v>
      </c>
      <c r="N600" s="23"/>
      <c r="O600" s="32"/>
    </row>
    <row r="601" spans="1:15" s="17" customFormat="1" ht="42.75" hidden="1" x14ac:dyDescent="0.45">
      <c r="A601" s="17">
        <v>328</v>
      </c>
      <c r="D601" s="17" t="s">
        <v>1457</v>
      </c>
      <c r="E601" s="17" t="s">
        <v>1012</v>
      </c>
      <c r="H601" s="18" t="s">
        <v>1458</v>
      </c>
      <c r="I601" s="18"/>
      <c r="J601" s="17" t="s">
        <v>56</v>
      </c>
      <c r="M601" s="18"/>
      <c r="N601" s="18"/>
    </row>
    <row r="602" spans="1:15" s="17" customFormat="1" ht="99.75" hidden="1" x14ac:dyDescent="0.45">
      <c r="A602" s="17">
        <v>329</v>
      </c>
      <c r="D602" s="17" t="s">
        <v>1459</v>
      </c>
      <c r="E602" s="17" t="s">
        <v>1012</v>
      </c>
      <c r="H602" s="18" t="s">
        <v>1460</v>
      </c>
      <c r="I602" s="18"/>
      <c r="J602" s="17" t="s">
        <v>56</v>
      </c>
      <c r="M602" s="18"/>
      <c r="N602" s="18"/>
    </row>
    <row r="603" spans="1:15" s="17" customFormat="1" ht="285" hidden="1" x14ac:dyDescent="0.45">
      <c r="A603" s="17">
        <v>330</v>
      </c>
      <c r="D603" s="17" t="s">
        <v>1461</v>
      </c>
      <c r="E603" s="17" t="s">
        <v>1012</v>
      </c>
      <c r="H603" s="18" t="s">
        <v>1462</v>
      </c>
      <c r="I603" s="18"/>
      <c r="J603" s="17" t="s">
        <v>56</v>
      </c>
      <c r="M603" s="18"/>
      <c r="N603" s="18"/>
    </row>
    <row r="604" spans="1:15" s="17" customFormat="1" ht="28.5" hidden="1" x14ac:dyDescent="0.45">
      <c r="A604" s="17">
        <v>331</v>
      </c>
      <c r="D604" s="17" t="s">
        <v>1463</v>
      </c>
      <c r="E604" s="17" t="s">
        <v>1012</v>
      </c>
      <c r="H604" s="18"/>
      <c r="I604" s="18"/>
      <c r="J604" s="17" t="s">
        <v>106</v>
      </c>
      <c r="L604" s="17" t="s">
        <v>107</v>
      </c>
      <c r="M604" s="23" t="s">
        <v>108</v>
      </c>
      <c r="N604" s="23"/>
      <c r="O604" s="32"/>
    </row>
    <row r="605" spans="1:15" s="17" customFormat="1" hidden="1" x14ac:dyDescent="0.45">
      <c r="A605" s="17">
        <v>332</v>
      </c>
      <c r="D605" s="17" t="s">
        <v>1464</v>
      </c>
      <c r="E605" s="17" t="s">
        <v>1012</v>
      </c>
      <c r="H605" s="18"/>
      <c r="I605" s="18"/>
      <c r="J605" s="17" t="s">
        <v>56</v>
      </c>
      <c r="M605" s="18"/>
      <c r="N605" s="18"/>
    </row>
    <row r="606" spans="1:15" s="17" customFormat="1" ht="256.5" hidden="1" x14ac:dyDescent="0.45">
      <c r="A606" s="17">
        <v>333</v>
      </c>
      <c r="D606" s="17" t="s">
        <v>1465</v>
      </c>
      <c r="E606" s="17" t="s">
        <v>1012</v>
      </c>
      <c r="H606" s="18" t="s">
        <v>1466</v>
      </c>
      <c r="I606" s="18"/>
      <c r="J606" s="17" t="s">
        <v>56</v>
      </c>
      <c r="M606" s="18"/>
      <c r="N606" s="18"/>
    </row>
    <row r="607" spans="1:15" s="17" customFormat="1" hidden="1" x14ac:dyDescent="0.45">
      <c r="A607" s="17">
        <v>334</v>
      </c>
      <c r="D607" s="17" t="s">
        <v>1467</v>
      </c>
      <c r="E607" s="17" t="s">
        <v>1012</v>
      </c>
      <c r="H607" s="18" t="s">
        <v>1468</v>
      </c>
      <c r="I607" s="18"/>
      <c r="J607" s="17" t="s">
        <v>56</v>
      </c>
      <c r="M607" s="18"/>
      <c r="N607" s="18"/>
    </row>
    <row r="608" spans="1:15" s="17" customFormat="1" hidden="1" x14ac:dyDescent="0.45">
      <c r="A608" s="17">
        <v>335</v>
      </c>
      <c r="D608" s="17" t="s">
        <v>1469</v>
      </c>
      <c r="E608" s="17" t="s">
        <v>1012</v>
      </c>
      <c r="H608" s="18"/>
      <c r="I608" s="18"/>
      <c r="J608" s="17" t="s">
        <v>56</v>
      </c>
      <c r="M608" s="18"/>
      <c r="N608" s="18"/>
    </row>
    <row r="609" spans="1:15" s="17" customFormat="1" ht="114" hidden="1" x14ac:dyDescent="0.45">
      <c r="A609" s="17">
        <v>336</v>
      </c>
      <c r="D609" s="17" t="s">
        <v>1470</v>
      </c>
      <c r="E609" s="17" t="s">
        <v>1012</v>
      </c>
      <c r="H609" s="18" t="s">
        <v>1471</v>
      </c>
      <c r="I609" s="18"/>
      <c r="J609" s="17" t="s">
        <v>141</v>
      </c>
      <c r="L609" s="17" t="s">
        <v>107</v>
      </c>
      <c r="M609" s="23" t="s">
        <v>108</v>
      </c>
      <c r="N609" s="23"/>
      <c r="O609" s="32"/>
    </row>
    <row r="610" spans="1:15" s="17" customFormat="1" ht="28.5" hidden="1" x14ac:dyDescent="0.45">
      <c r="A610" s="17">
        <v>337</v>
      </c>
      <c r="D610" s="17" t="s">
        <v>1472</v>
      </c>
      <c r="E610" s="17" t="s">
        <v>1012</v>
      </c>
      <c r="H610" s="18" t="s">
        <v>1473</v>
      </c>
      <c r="I610" s="18"/>
      <c r="J610" s="17" t="s">
        <v>56</v>
      </c>
      <c r="L610" s="17" t="s">
        <v>210</v>
      </c>
      <c r="M610" s="23" t="s">
        <v>211</v>
      </c>
      <c r="N610" s="23"/>
      <c r="O610" s="32"/>
    </row>
    <row r="611" spans="1:15" s="17" customFormat="1" ht="128.25" hidden="1" x14ac:dyDescent="0.45">
      <c r="A611" s="17">
        <v>338</v>
      </c>
      <c r="D611" s="17" t="s">
        <v>1474</v>
      </c>
      <c r="E611" s="17" t="s">
        <v>1012</v>
      </c>
      <c r="H611" s="18" t="s">
        <v>1475</v>
      </c>
      <c r="I611" s="18"/>
      <c r="J611" s="17" t="s">
        <v>56</v>
      </c>
      <c r="M611" s="18"/>
      <c r="N611" s="18"/>
    </row>
    <row r="612" spans="1:15" s="17" customFormat="1" ht="28.5" hidden="1" x14ac:dyDescent="0.45">
      <c r="A612" s="17">
        <v>339</v>
      </c>
      <c r="D612" s="17" t="s">
        <v>1476</v>
      </c>
      <c r="E612" s="17" t="s">
        <v>1012</v>
      </c>
      <c r="H612" s="18" t="s">
        <v>1477</v>
      </c>
      <c r="I612" s="18"/>
      <c r="J612" s="17" t="s">
        <v>56</v>
      </c>
      <c r="M612" s="18"/>
      <c r="N612" s="18"/>
    </row>
    <row r="613" spans="1:15" s="17" customFormat="1" ht="114" hidden="1" x14ac:dyDescent="0.45">
      <c r="A613" s="17">
        <v>340</v>
      </c>
      <c r="D613" s="17" t="s">
        <v>1478</v>
      </c>
      <c r="E613" s="17" t="s">
        <v>1012</v>
      </c>
      <c r="H613" s="18" t="s">
        <v>1479</v>
      </c>
      <c r="I613" s="18"/>
      <c r="J613" s="17" t="s">
        <v>56</v>
      </c>
      <c r="M613" s="18"/>
      <c r="N613" s="18"/>
    </row>
    <row r="614" spans="1:15" s="17" customFormat="1" hidden="1" x14ac:dyDescent="0.45">
      <c r="A614" s="17">
        <v>341</v>
      </c>
      <c r="D614" s="17" t="s">
        <v>1480</v>
      </c>
      <c r="E614" s="17" t="s">
        <v>1012</v>
      </c>
      <c r="H614" s="18" t="s">
        <v>1481</v>
      </c>
      <c r="I614" s="18"/>
      <c r="J614" s="17" t="s">
        <v>56</v>
      </c>
      <c r="M614" s="18"/>
      <c r="N614" s="18"/>
    </row>
    <row r="615" spans="1:15" s="17" customFormat="1" ht="28.5" hidden="1" x14ac:dyDescent="0.45">
      <c r="A615" s="17">
        <v>342</v>
      </c>
      <c r="D615" s="17" t="s">
        <v>1482</v>
      </c>
      <c r="E615" s="17" t="s">
        <v>1012</v>
      </c>
      <c r="H615" s="18" t="s">
        <v>1483</v>
      </c>
      <c r="I615" s="18"/>
      <c r="J615" s="17" t="s">
        <v>56</v>
      </c>
      <c r="M615" s="18"/>
      <c r="N615" s="18"/>
    </row>
    <row r="616" spans="1:15" s="17" customFormat="1" ht="28.5" hidden="1" x14ac:dyDescent="0.45">
      <c r="A616" s="17">
        <v>343</v>
      </c>
      <c r="D616" s="17" t="s">
        <v>1484</v>
      </c>
      <c r="E616" s="17" t="s">
        <v>1012</v>
      </c>
      <c r="H616" s="18" t="s">
        <v>1485</v>
      </c>
      <c r="I616" s="18"/>
      <c r="J616" s="17" t="s">
        <v>56</v>
      </c>
      <c r="M616" s="18"/>
      <c r="N616" s="18"/>
    </row>
    <row r="617" spans="1:15" s="17" customFormat="1" ht="28.5" hidden="1" x14ac:dyDescent="0.45">
      <c r="A617" s="17">
        <v>344</v>
      </c>
      <c r="D617" s="17" t="s">
        <v>1486</v>
      </c>
      <c r="E617" s="17" t="s">
        <v>1012</v>
      </c>
      <c r="H617" s="18" t="s">
        <v>1487</v>
      </c>
      <c r="I617" s="18"/>
      <c r="J617" s="17" t="s">
        <v>56</v>
      </c>
      <c r="M617" s="18"/>
      <c r="N617" s="18"/>
    </row>
    <row r="618" spans="1:15" s="17" customFormat="1" ht="156.75" hidden="1" x14ac:dyDescent="0.45">
      <c r="A618" s="17">
        <v>345</v>
      </c>
      <c r="D618" s="17" t="s">
        <v>1488</v>
      </c>
      <c r="E618" s="17" t="s">
        <v>1012</v>
      </c>
      <c r="H618" s="18" t="s">
        <v>1489</v>
      </c>
      <c r="I618" s="18"/>
      <c r="J618" s="17" t="s">
        <v>56</v>
      </c>
      <c r="M618" s="18"/>
      <c r="N618" s="18"/>
    </row>
    <row r="619" spans="1:15" s="17" customFormat="1" hidden="1" x14ac:dyDescent="0.45">
      <c r="A619" s="17">
        <v>346</v>
      </c>
      <c r="D619" s="17" t="s">
        <v>1490</v>
      </c>
      <c r="E619" s="17" t="s">
        <v>1012</v>
      </c>
      <c r="H619" s="18" t="s">
        <v>1491</v>
      </c>
      <c r="I619" s="18"/>
      <c r="J619" s="17" t="s">
        <v>56</v>
      </c>
      <c r="M619" s="18"/>
      <c r="N619" s="18"/>
    </row>
    <row r="620" spans="1:15" s="17" customFormat="1" ht="28.5" hidden="1" x14ac:dyDescent="0.45">
      <c r="A620" s="17">
        <v>347</v>
      </c>
      <c r="D620" s="17" t="s">
        <v>1492</v>
      </c>
      <c r="E620" s="17" t="s">
        <v>1012</v>
      </c>
      <c r="H620" s="18"/>
      <c r="I620" s="18"/>
      <c r="J620" s="17" t="s">
        <v>225</v>
      </c>
      <c r="L620" s="17" t="s">
        <v>107</v>
      </c>
      <c r="M620" s="23" t="s">
        <v>108</v>
      </c>
      <c r="N620" s="23"/>
      <c r="O620" s="32"/>
    </row>
    <row r="621" spans="1:15" s="17" customFormat="1" ht="28.5" hidden="1" x14ac:dyDescent="0.45">
      <c r="A621" s="17">
        <v>348</v>
      </c>
      <c r="D621" s="17" t="s">
        <v>1493</v>
      </c>
      <c r="E621" s="17" t="s">
        <v>1012</v>
      </c>
      <c r="H621" s="18"/>
      <c r="I621" s="18"/>
      <c r="J621" s="17" t="s">
        <v>225</v>
      </c>
      <c r="L621" s="17" t="s">
        <v>107</v>
      </c>
      <c r="M621" s="23" t="s">
        <v>108</v>
      </c>
      <c r="N621" s="23"/>
      <c r="O621" s="32"/>
    </row>
    <row r="622" spans="1:15" s="17" customFormat="1" ht="114" hidden="1" x14ac:dyDescent="0.45">
      <c r="A622" s="17">
        <v>349</v>
      </c>
      <c r="D622" s="17" t="s">
        <v>1494</v>
      </c>
      <c r="E622" s="17" t="s">
        <v>1012</v>
      </c>
      <c r="H622" s="18"/>
      <c r="I622" s="18"/>
      <c r="J622" s="17" t="s">
        <v>225</v>
      </c>
      <c r="L622" s="17" t="s">
        <v>1345</v>
      </c>
      <c r="M622" s="23" t="s">
        <v>1346</v>
      </c>
      <c r="N622" s="23"/>
      <c r="O622" s="32"/>
    </row>
    <row r="623" spans="1:15" s="17" customFormat="1" ht="28.5" hidden="1" x14ac:dyDescent="0.45">
      <c r="A623" s="17">
        <v>350</v>
      </c>
      <c r="D623" s="17" t="s">
        <v>1495</v>
      </c>
      <c r="E623" s="17" t="s">
        <v>1012</v>
      </c>
      <c r="H623" s="18"/>
      <c r="I623" s="18"/>
      <c r="J623" s="17" t="s">
        <v>225</v>
      </c>
      <c r="L623" s="17" t="s">
        <v>107</v>
      </c>
      <c r="M623" s="23" t="s">
        <v>108</v>
      </c>
      <c r="N623" s="23"/>
      <c r="O623" s="32"/>
    </row>
    <row r="624" spans="1:15" s="17" customFormat="1" ht="28.5" hidden="1" x14ac:dyDescent="0.45">
      <c r="A624" s="17">
        <v>351</v>
      </c>
      <c r="D624" s="17" t="s">
        <v>1496</v>
      </c>
      <c r="E624" s="17" t="s">
        <v>1012</v>
      </c>
      <c r="H624" s="18"/>
      <c r="I624" s="18"/>
      <c r="J624" s="17" t="s">
        <v>225</v>
      </c>
      <c r="L624" s="17" t="s">
        <v>107</v>
      </c>
      <c r="M624" s="23" t="s">
        <v>108</v>
      </c>
      <c r="N624" s="23"/>
      <c r="O624" s="32"/>
    </row>
    <row r="625" spans="1:15" s="17" customFormat="1" ht="28.5" hidden="1" x14ac:dyDescent="0.45">
      <c r="A625" s="17">
        <v>352</v>
      </c>
      <c r="D625" s="17" t="s">
        <v>1497</v>
      </c>
      <c r="E625" s="17" t="s">
        <v>1012</v>
      </c>
      <c r="H625" s="18"/>
      <c r="I625" s="18"/>
      <c r="J625" s="17" t="s">
        <v>225</v>
      </c>
      <c r="L625" s="17" t="s">
        <v>107</v>
      </c>
      <c r="M625" s="23" t="s">
        <v>108</v>
      </c>
      <c r="N625" s="23"/>
      <c r="O625" s="32"/>
    </row>
    <row r="626" spans="1:15" s="17" customFormat="1" ht="99.75" hidden="1" x14ac:dyDescent="0.45">
      <c r="A626" s="17">
        <v>353</v>
      </c>
      <c r="D626" s="17" t="s">
        <v>1230</v>
      </c>
      <c r="E626" s="17" t="s">
        <v>1012</v>
      </c>
      <c r="H626" s="18" t="s">
        <v>1498</v>
      </c>
      <c r="I626" s="18"/>
      <c r="J626" s="17" t="s">
        <v>56</v>
      </c>
      <c r="M626" s="18"/>
      <c r="N626" s="18"/>
    </row>
    <row r="627" spans="1:15" s="17" customFormat="1" hidden="1" x14ac:dyDescent="0.45">
      <c r="A627" s="17">
        <v>354</v>
      </c>
      <c r="D627" s="17" t="s">
        <v>1499</v>
      </c>
      <c r="E627" s="17" t="s">
        <v>1012</v>
      </c>
      <c r="H627" s="18"/>
      <c r="I627" s="18"/>
      <c r="J627" s="17" t="s">
        <v>56</v>
      </c>
      <c r="M627" s="18"/>
      <c r="N627" s="18"/>
    </row>
    <row r="628" spans="1:15" s="17" customFormat="1" ht="28.5" hidden="1" x14ac:dyDescent="0.45">
      <c r="A628" s="17">
        <v>355</v>
      </c>
      <c r="D628" s="17" t="s">
        <v>1500</v>
      </c>
      <c r="E628" s="17" t="s">
        <v>1012</v>
      </c>
      <c r="H628" s="18" t="s">
        <v>1501</v>
      </c>
      <c r="I628" s="18"/>
      <c r="J628" s="17" t="s">
        <v>56</v>
      </c>
      <c r="M628" s="18"/>
      <c r="N628" s="18"/>
    </row>
    <row r="629" spans="1:15" s="17" customFormat="1" ht="28.5" hidden="1" x14ac:dyDescent="0.45">
      <c r="A629" s="17">
        <v>356</v>
      </c>
      <c r="D629" s="17" t="s">
        <v>1502</v>
      </c>
      <c r="E629" s="17" t="s">
        <v>1012</v>
      </c>
      <c r="H629" s="18"/>
      <c r="I629" s="18"/>
      <c r="J629" s="17" t="s">
        <v>56</v>
      </c>
      <c r="L629" s="17" t="s">
        <v>336</v>
      </c>
      <c r="M629" s="23" t="s">
        <v>337</v>
      </c>
      <c r="N629" s="23"/>
      <c r="O629" s="32"/>
    </row>
    <row r="630" spans="1:15" s="17" customFormat="1" ht="285" hidden="1" x14ac:dyDescent="0.45">
      <c r="A630" s="17">
        <v>357</v>
      </c>
      <c r="D630" s="17" t="s">
        <v>1503</v>
      </c>
      <c r="E630" s="17" t="s">
        <v>1012</v>
      </c>
      <c r="H630" s="18" t="s">
        <v>1504</v>
      </c>
      <c r="I630" s="18"/>
      <c r="J630" s="17" t="s">
        <v>56</v>
      </c>
      <c r="M630" s="18"/>
      <c r="N630" s="18"/>
    </row>
    <row r="631" spans="1:15" s="17" customFormat="1" ht="99.75" hidden="1" x14ac:dyDescent="0.45">
      <c r="A631" s="17">
        <v>358</v>
      </c>
      <c r="D631" s="17" t="s">
        <v>1505</v>
      </c>
      <c r="E631" s="17" t="s">
        <v>1012</v>
      </c>
      <c r="H631" s="18" t="s">
        <v>1506</v>
      </c>
      <c r="I631" s="18"/>
      <c r="J631" s="17" t="s">
        <v>106</v>
      </c>
      <c r="L631" s="17" t="s">
        <v>107</v>
      </c>
      <c r="M631" s="23" t="s">
        <v>108</v>
      </c>
      <c r="N631" s="23"/>
      <c r="O631" s="32"/>
    </row>
    <row r="632" spans="1:15" s="17" customFormat="1" ht="171" hidden="1" x14ac:dyDescent="0.45">
      <c r="A632" s="17">
        <v>359</v>
      </c>
      <c r="D632" s="17" t="s">
        <v>1507</v>
      </c>
      <c r="E632" s="17" t="s">
        <v>1012</v>
      </c>
      <c r="H632" s="18" t="s">
        <v>1508</v>
      </c>
      <c r="I632" s="18"/>
      <c r="J632" s="17" t="s">
        <v>56</v>
      </c>
      <c r="M632" s="18"/>
      <c r="N632" s="18"/>
    </row>
    <row r="633" spans="1:15" s="17" customFormat="1" ht="142.5" hidden="1" x14ac:dyDescent="0.45">
      <c r="A633" s="17">
        <v>360</v>
      </c>
      <c r="D633" s="17" t="s">
        <v>1509</v>
      </c>
      <c r="E633" s="17" t="s">
        <v>1012</v>
      </c>
      <c r="H633" s="18" t="s">
        <v>1510</v>
      </c>
      <c r="I633" s="18"/>
      <c r="J633" s="17" t="s">
        <v>56</v>
      </c>
      <c r="M633" s="18"/>
      <c r="N633" s="18"/>
    </row>
    <row r="634" spans="1:15" s="17" customFormat="1" ht="199.5" hidden="1" x14ac:dyDescent="0.45">
      <c r="A634" s="17">
        <v>361</v>
      </c>
      <c r="D634" s="17" t="s">
        <v>1282</v>
      </c>
      <c r="E634" s="17" t="s">
        <v>1012</v>
      </c>
      <c r="H634" s="18" t="s">
        <v>1511</v>
      </c>
      <c r="I634" s="18"/>
      <c r="J634" s="17" t="s">
        <v>56</v>
      </c>
      <c r="M634" s="18"/>
      <c r="N634" s="18"/>
    </row>
    <row r="635" spans="1:15" s="17" customFormat="1" ht="57" hidden="1" x14ac:dyDescent="0.45">
      <c r="A635" s="17">
        <v>362</v>
      </c>
      <c r="D635" s="17" t="s">
        <v>1512</v>
      </c>
      <c r="E635" s="17" t="s">
        <v>1012</v>
      </c>
      <c r="H635" s="18" t="s">
        <v>1513</v>
      </c>
      <c r="I635" s="18"/>
      <c r="J635" s="17" t="s">
        <v>56</v>
      </c>
      <c r="M635" s="18"/>
      <c r="N635" s="18"/>
    </row>
    <row r="636" spans="1:15" s="17" customFormat="1" ht="71.25" hidden="1" x14ac:dyDescent="0.45">
      <c r="A636" s="17">
        <v>363</v>
      </c>
      <c r="D636" s="17" t="s">
        <v>1514</v>
      </c>
      <c r="E636" s="17" t="s">
        <v>1012</v>
      </c>
      <c r="H636" s="18" t="s">
        <v>1515</v>
      </c>
      <c r="I636" s="18"/>
      <c r="J636" s="17" t="s">
        <v>56</v>
      </c>
      <c r="M636" s="18"/>
      <c r="N636" s="18"/>
    </row>
    <row r="637" spans="1:15" s="17" customFormat="1" ht="256.5" hidden="1" x14ac:dyDescent="0.45">
      <c r="A637" s="17">
        <v>364</v>
      </c>
      <c r="D637" s="17" t="s">
        <v>1516</v>
      </c>
      <c r="E637" s="17" t="s">
        <v>1012</v>
      </c>
      <c r="H637" s="18" t="s">
        <v>1517</v>
      </c>
      <c r="I637" s="18"/>
      <c r="J637" s="17" t="s">
        <v>56</v>
      </c>
      <c r="M637" s="18"/>
      <c r="N637" s="18"/>
    </row>
    <row r="638" spans="1:15" s="17" customFormat="1" ht="114" hidden="1" x14ac:dyDescent="0.45">
      <c r="A638" s="17">
        <v>365</v>
      </c>
      <c r="D638" s="17" t="s">
        <v>1518</v>
      </c>
      <c r="E638" s="17" t="s">
        <v>1012</v>
      </c>
      <c r="H638" s="18" t="s">
        <v>1519</v>
      </c>
      <c r="I638" s="18"/>
      <c r="J638" s="17" t="s">
        <v>56</v>
      </c>
      <c r="M638" s="18"/>
      <c r="N638" s="18"/>
    </row>
    <row r="639" spans="1:15" s="17" customFormat="1" ht="57" hidden="1" x14ac:dyDescent="0.45">
      <c r="A639" s="17">
        <v>366</v>
      </c>
      <c r="D639" s="17" t="s">
        <v>1520</v>
      </c>
      <c r="E639" s="17" t="s">
        <v>1012</v>
      </c>
      <c r="H639" s="18" t="s">
        <v>1521</v>
      </c>
      <c r="I639" s="18"/>
      <c r="J639" s="17" t="s">
        <v>56</v>
      </c>
      <c r="M639" s="18"/>
      <c r="N639" s="18"/>
    </row>
    <row r="640" spans="1:15" s="17" customFormat="1" ht="28.5" hidden="1" x14ac:dyDescent="0.45">
      <c r="A640" s="17">
        <v>367</v>
      </c>
      <c r="D640" s="17" t="s">
        <v>1522</v>
      </c>
      <c r="E640" s="17" t="s">
        <v>1012</v>
      </c>
      <c r="H640" s="18" t="s">
        <v>1523</v>
      </c>
      <c r="I640" s="18"/>
      <c r="J640" s="17" t="s">
        <v>56</v>
      </c>
      <c r="M640" s="18"/>
      <c r="N640" s="18"/>
    </row>
    <row r="641" spans="1:15" s="17" customFormat="1" ht="28.5" hidden="1" x14ac:dyDescent="0.45">
      <c r="A641" s="17">
        <v>368</v>
      </c>
      <c r="D641" s="17" t="s">
        <v>1524</v>
      </c>
      <c r="E641" s="17" t="s">
        <v>1012</v>
      </c>
      <c r="H641" s="18" t="s">
        <v>1525</v>
      </c>
      <c r="I641" s="18"/>
      <c r="J641" s="17" t="s">
        <v>56</v>
      </c>
      <c r="M641" s="18"/>
      <c r="N641" s="18"/>
    </row>
    <row r="642" spans="1:15" s="17" customFormat="1" ht="409.5" hidden="1" x14ac:dyDescent="0.45">
      <c r="A642" s="17">
        <v>369</v>
      </c>
      <c r="D642" s="17" t="s">
        <v>1526</v>
      </c>
      <c r="E642" s="17" t="s">
        <v>1012</v>
      </c>
      <c r="H642" s="18" t="s">
        <v>1527</v>
      </c>
      <c r="I642" s="18"/>
      <c r="J642" s="17" t="s">
        <v>56</v>
      </c>
      <c r="M642" s="18"/>
      <c r="N642" s="18"/>
    </row>
    <row r="643" spans="1:15" s="17" customFormat="1" hidden="1" x14ac:dyDescent="0.45">
      <c r="A643" s="17">
        <v>370</v>
      </c>
      <c r="D643" s="17" t="s">
        <v>1528</v>
      </c>
      <c r="E643" s="17" t="s">
        <v>1012</v>
      </c>
      <c r="H643" s="18" t="s">
        <v>1529</v>
      </c>
      <c r="I643" s="18"/>
      <c r="J643" s="17" t="s">
        <v>56</v>
      </c>
      <c r="M643" s="18"/>
      <c r="N643" s="18"/>
    </row>
    <row r="644" spans="1:15" s="17" customFormat="1" ht="28.5" hidden="1" x14ac:dyDescent="0.45">
      <c r="A644" s="17">
        <v>371</v>
      </c>
      <c r="D644" s="17" t="s">
        <v>1530</v>
      </c>
      <c r="E644" s="17" t="s">
        <v>1012</v>
      </c>
      <c r="H644" s="18" t="s">
        <v>1531</v>
      </c>
      <c r="I644" s="18"/>
      <c r="J644" s="17" t="s">
        <v>56</v>
      </c>
      <c r="M644" s="18"/>
      <c r="N644" s="18"/>
    </row>
    <row r="645" spans="1:15" s="17" customFormat="1" hidden="1" x14ac:dyDescent="0.45">
      <c r="A645" s="17">
        <v>372</v>
      </c>
      <c r="D645" s="17" t="s">
        <v>1532</v>
      </c>
      <c r="E645" s="17" t="s">
        <v>1012</v>
      </c>
      <c r="H645" s="18"/>
      <c r="I645" s="18"/>
      <c r="J645" s="17" t="s">
        <v>56</v>
      </c>
      <c r="M645" s="18"/>
      <c r="N645" s="18"/>
    </row>
    <row r="646" spans="1:15" s="17" customFormat="1" ht="57" hidden="1" x14ac:dyDescent="0.45">
      <c r="A646" s="17">
        <v>373</v>
      </c>
      <c r="D646" s="17" t="s">
        <v>1533</v>
      </c>
      <c r="E646" s="17" t="s">
        <v>1012</v>
      </c>
      <c r="H646" s="18" t="s">
        <v>1534</v>
      </c>
      <c r="I646" s="18"/>
      <c r="J646" s="17" t="s">
        <v>56</v>
      </c>
      <c r="M646" s="18"/>
      <c r="N646" s="18"/>
    </row>
    <row r="647" spans="1:15" s="17" customFormat="1" ht="185.25" hidden="1" x14ac:dyDescent="0.45">
      <c r="A647" s="17">
        <v>374</v>
      </c>
      <c r="D647" s="17" t="s">
        <v>1535</v>
      </c>
      <c r="E647" s="17" t="s">
        <v>1012</v>
      </c>
      <c r="H647" s="18" t="s">
        <v>1536</v>
      </c>
      <c r="I647" s="18"/>
      <c r="J647" s="17" t="s">
        <v>56</v>
      </c>
      <c r="M647" s="18"/>
      <c r="N647" s="18"/>
    </row>
    <row r="648" spans="1:15" s="17" customFormat="1" ht="28.5" hidden="1" x14ac:dyDescent="0.45">
      <c r="A648" s="17">
        <v>375</v>
      </c>
      <c r="D648" s="17" t="s">
        <v>1537</v>
      </c>
      <c r="E648" s="17" t="s">
        <v>1012</v>
      </c>
      <c r="H648" s="18" t="s">
        <v>1538</v>
      </c>
      <c r="I648" s="18"/>
      <c r="J648" s="17" t="s">
        <v>56</v>
      </c>
      <c r="M648" s="18"/>
      <c r="N648" s="18"/>
    </row>
    <row r="649" spans="1:15" s="17" customFormat="1" ht="285" hidden="1" x14ac:dyDescent="0.45">
      <c r="A649" s="17">
        <v>376</v>
      </c>
      <c r="D649" s="17" t="s">
        <v>1539</v>
      </c>
      <c r="E649" s="17" t="s">
        <v>1012</v>
      </c>
      <c r="H649" s="18" t="s">
        <v>1540</v>
      </c>
      <c r="I649" s="18"/>
      <c r="J649" s="17" t="s">
        <v>56</v>
      </c>
      <c r="M649" s="18"/>
      <c r="N649" s="18"/>
    </row>
    <row r="650" spans="1:15" s="17" customFormat="1" ht="242.25" hidden="1" x14ac:dyDescent="0.45">
      <c r="A650" s="17">
        <v>377</v>
      </c>
      <c r="D650" s="17" t="s">
        <v>1541</v>
      </c>
      <c r="E650" s="17" t="s">
        <v>1012</v>
      </c>
      <c r="H650" s="18" t="s">
        <v>1542</v>
      </c>
      <c r="I650" s="18"/>
      <c r="J650" s="17" t="s">
        <v>56</v>
      </c>
      <c r="M650" s="18"/>
      <c r="N650" s="18"/>
    </row>
    <row r="651" spans="1:15" s="17" customFormat="1" ht="57" hidden="1" x14ac:dyDescent="0.45">
      <c r="A651" s="17">
        <v>378</v>
      </c>
      <c r="D651" s="17" t="s">
        <v>1543</v>
      </c>
      <c r="E651" s="17" t="s">
        <v>1012</v>
      </c>
      <c r="H651" s="18" t="s">
        <v>1544</v>
      </c>
      <c r="I651" s="18"/>
      <c r="J651" s="17" t="s">
        <v>56</v>
      </c>
      <c r="M651" s="18"/>
      <c r="N651" s="18"/>
    </row>
    <row r="652" spans="1:15" s="17" customFormat="1" ht="85.5" hidden="1" x14ac:dyDescent="0.45">
      <c r="A652" s="17">
        <v>379</v>
      </c>
      <c r="D652" s="17" t="s">
        <v>1183</v>
      </c>
      <c r="E652" s="17" t="s">
        <v>1012</v>
      </c>
      <c r="H652" s="18" t="s">
        <v>1545</v>
      </c>
      <c r="I652" s="18"/>
      <c r="J652" s="17" t="s">
        <v>56</v>
      </c>
      <c r="M652" s="18"/>
      <c r="N652" s="18"/>
    </row>
    <row r="653" spans="1:15" s="17" customFormat="1" ht="409.5" hidden="1" x14ac:dyDescent="0.45">
      <c r="A653" s="17">
        <v>380</v>
      </c>
      <c r="D653" s="17" t="s">
        <v>1546</v>
      </c>
      <c r="E653" s="17" t="s">
        <v>1012</v>
      </c>
      <c r="H653" s="18" t="s">
        <v>1547</v>
      </c>
      <c r="I653" s="18"/>
      <c r="J653" s="17" t="s">
        <v>106</v>
      </c>
      <c r="L653" s="17" t="s">
        <v>107</v>
      </c>
      <c r="M653" s="23" t="s">
        <v>108</v>
      </c>
      <c r="N653" s="23"/>
      <c r="O653" s="32"/>
    </row>
    <row r="654" spans="1:15" s="17" customFormat="1" ht="409.5" hidden="1" x14ac:dyDescent="0.45">
      <c r="A654" s="17">
        <v>381</v>
      </c>
      <c r="D654" s="17" t="s">
        <v>1548</v>
      </c>
      <c r="E654" s="17" t="s">
        <v>1012</v>
      </c>
      <c r="H654" s="18" t="s">
        <v>1549</v>
      </c>
      <c r="I654" s="18"/>
      <c r="J654" s="17" t="s">
        <v>56</v>
      </c>
      <c r="M654" s="18"/>
      <c r="N654" s="18"/>
    </row>
    <row r="655" spans="1:15" s="17" customFormat="1" ht="185.25" hidden="1" x14ac:dyDescent="0.45">
      <c r="A655" s="17">
        <v>382</v>
      </c>
      <c r="D655" s="17" t="s">
        <v>1550</v>
      </c>
      <c r="E655" s="17" t="s">
        <v>1012</v>
      </c>
      <c r="H655" s="18" t="s">
        <v>1551</v>
      </c>
      <c r="I655" s="18"/>
      <c r="J655" s="17" t="s">
        <v>56</v>
      </c>
      <c r="L655" s="17" t="s">
        <v>465</v>
      </c>
      <c r="M655" s="23" t="s">
        <v>466</v>
      </c>
      <c r="N655" s="23"/>
      <c r="O655" s="32"/>
    </row>
    <row r="656" spans="1:15" s="17" customFormat="1" ht="242.25" hidden="1" x14ac:dyDescent="0.45">
      <c r="A656" s="17">
        <v>383</v>
      </c>
      <c r="D656" s="17" t="s">
        <v>1552</v>
      </c>
      <c r="E656" s="17" t="s">
        <v>1012</v>
      </c>
      <c r="H656" s="18" t="s">
        <v>1553</v>
      </c>
      <c r="I656" s="18"/>
      <c r="J656" s="17" t="s">
        <v>106</v>
      </c>
      <c r="L656" s="17" t="s">
        <v>107</v>
      </c>
      <c r="M656" s="23" t="s">
        <v>108</v>
      </c>
      <c r="N656" s="23"/>
      <c r="O656" s="32"/>
    </row>
    <row r="657" spans="1:15" s="17" customFormat="1" ht="28.5" hidden="1" x14ac:dyDescent="0.45">
      <c r="A657" s="17">
        <v>384</v>
      </c>
      <c r="D657" s="17" t="s">
        <v>1554</v>
      </c>
      <c r="E657" s="17" t="s">
        <v>1012</v>
      </c>
      <c r="H657" s="18" t="s">
        <v>1555</v>
      </c>
      <c r="I657" s="18"/>
      <c r="J657" s="17" t="s">
        <v>56</v>
      </c>
      <c r="M657" s="18"/>
      <c r="N657" s="18"/>
    </row>
    <row r="658" spans="1:15" s="17" customFormat="1" ht="99.75" hidden="1" x14ac:dyDescent="0.45">
      <c r="A658" s="17">
        <v>385</v>
      </c>
      <c r="D658" s="17" t="s">
        <v>1556</v>
      </c>
      <c r="E658" s="17" t="s">
        <v>1012</v>
      </c>
      <c r="H658" s="18" t="s">
        <v>1557</v>
      </c>
      <c r="I658" s="18"/>
      <c r="J658" s="17" t="s">
        <v>56</v>
      </c>
      <c r="M658" s="18"/>
      <c r="N658" s="18"/>
    </row>
    <row r="659" spans="1:15" s="17" customFormat="1" hidden="1" x14ac:dyDescent="0.45">
      <c r="A659" s="17">
        <v>386</v>
      </c>
      <c r="D659" s="17" t="s">
        <v>1558</v>
      </c>
      <c r="E659" s="17" t="s">
        <v>1012</v>
      </c>
      <c r="H659" s="18"/>
      <c r="I659" s="18"/>
      <c r="J659" s="17" t="s">
        <v>56</v>
      </c>
      <c r="M659" s="18"/>
      <c r="N659" s="18"/>
    </row>
    <row r="660" spans="1:15" s="17" customFormat="1" hidden="1" x14ac:dyDescent="0.45">
      <c r="A660" s="17">
        <v>387</v>
      </c>
      <c r="D660" s="17" t="s">
        <v>1559</v>
      </c>
      <c r="E660" s="17" t="s">
        <v>1012</v>
      </c>
      <c r="H660" s="18"/>
      <c r="I660" s="18"/>
      <c r="J660" s="17" t="s">
        <v>56</v>
      </c>
      <c r="M660" s="18"/>
      <c r="N660" s="18"/>
    </row>
    <row r="661" spans="1:15" s="17" customFormat="1" hidden="1" x14ac:dyDescent="0.45">
      <c r="A661" s="17">
        <v>388</v>
      </c>
      <c r="D661" s="17" t="s">
        <v>1560</v>
      </c>
      <c r="E661" s="17" t="s">
        <v>1012</v>
      </c>
      <c r="H661" s="18"/>
      <c r="I661" s="18"/>
      <c r="J661" s="17" t="s">
        <v>56</v>
      </c>
      <c r="M661" s="18"/>
      <c r="N661" s="18"/>
    </row>
    <row r="662" spans="1:15" s="17" customFormat="1" ht="71.25" hidden="1" x14ac:dyDescent="0.45">
      <c r="A662" s="17">
        <v>389</v>
      </c>
      <c r="D662" s="17" t="s">
        <v>1561</v>
      </c>
      <c r="E662" s="17" t="s">
        <v>1012</v>
      </c>
      <c r="H662" s="18" t="s">
        <v>1562</v>
      </c>
      <c r="I662" s="18"/>
      <c r="J662" s="17" t="s">
        <v>56</v>
      </c>
      <c r="M662" s="18"/>
      <c r="N662" s="18"/>
    </row>
    <row r="663" spans="1:15" s="17" customFormat="1" ht="270.75" hidden="1" x14ac:dyDescent="0.45">
      <c r="A663" s="17">
        <v>390</v>
      </c>
      <c r="D663" s="17" t="s">
        <v>1563</v>
      </c>
      <c r="E663" s="17" t="s">
        <v>1012</v>
      </c>
      <c r="H663" s="18" t="s">
        <v>1564</v>
      </c>
      <c r="I663" s="18"/>
      <c r="J663" s="17" t="s">
        <v>56</v>
      </c>
      <c r="M663" s="18"/>
      <c r="N663" s="18"/>
    </row>
    <row r="664" spans="1:15" s="17" customFormat="1" ht="99.75" hidden="1" x14ac:dyDescent="0.45">
      <c r="A664" s="17">
        <v>391</v>
      </c>
      <c r="D664" s="17" t="s">
        <v>1069</v>
      </c>
      <c r="E664" s="17" t="s">
        <v>1012</v>
      </c>
      <c r="H664" s="18" t="s">
        <v>1565</v>
      </c>
      <c r="I664" s="18"/>
      <c r="J664" s="17" t="s">
        <v>56</v>
      </c>
      <c r="L664" s="17" t="s">
        <v>297</v>
      </c>
      <c r="M664" s="23" t="s">
        <v>298</v>
      </c>
      <c r="N664" s="23"/>
      <c r="O664" s="32"/>
    </row>
    <row r="665" spans="1:15" s="17" customFormat="1" hidden="1" x14ac:dyDescent="0.45">
      <c r="A665" s="17">
        <v>392</v>
      </c>
      <c r="D665" s="17" t="s">
        <v>1566</v>
      </c>
      <c r="E665" s="17" t="s">
        <v>1012</v>
      </c>
      <c r="H665" s="18" t="s">
        <v>1567</v>
      </c>
      <c r="I665" s="18"/>
      <c r="J665" s="17" t="s">
        <v>56</v>
      </c>
      <c r="M665" s="18"/>
      <c r="N665" s="18"/>
    </row>
    <row r="666" spans="1:15" s="17" customFormat="1" ht="114" hidden="1" x14ac:dyDescent="0.45">
      <c r="A666" s="17">
        <v>393</v>
      </c>
      <c r="D666" s="17" t="s">
        <v>1568</v>
      </c>
      <c r="E666" s="17" t="s">
        <v>1012</v>
      </c>
      <c r="H666" s="18"/>
      <c r="I666" s="18"/>
      <c r="J666" s="17" t="s">
        <v>106</v>
      </c>
      <c r="L666" s="17" t="s">
        <v>248</v>
      </c>
      <c r="M666" s="23" t="s">
        <v>249</v>
      </c>
      <c r="N666" s="23"/>
      <c r="O666" s="32"/>
    </row>
    <row r="667" spans="1:15" s="17" customFormat="1" ht="28.5" hidden="1" x14ac:dyDescent="0.45">
      <c r="A667" s="17">
        <v>394</v>
      </c>
      <c r="D667" s="17" t="s">
        <v>1569</v>
      </c>
      <c r="E667" s="17" t="s">
        <v>1012</v>
      </c>
      <c r="H667" s="18" t="s">
        <v>1570</v>
      </c>
      <c r="I667" s="18"/>
      <c r="J667" s="17" t="s">
        <v>56</v>
      </c>
      <c r="M667" s="18"/>
      <c r="N667" s="18"/>
    </row>
    <row r="668" spans="1:15" s="17" customFormat="1" ht="42.75" hidden="1" x14ac:dyDescent="0.45">
      <c r="A668" s="17">
        <v>395</v>
      </c>
      <c r="D668" s="17" t="s">
        <v>1571</v>
      </c>
      <c r="E668" s="17" t="s">
        <v>1012</v>
      </c>
      <c r="H668" s="18" t="s">
        <v>1572</v>
      </c>
      <c r="I668" s="18"/>
      <c r="J668" s="17" t="s">
        <v>56</v>
      </c>
      <c r="M668" s="18"/>
      <c r="N668" s="18"/>
    </row>
    <row r="669" spans="1:15" s="17" customFormat="1" ht="28.5" hidden="1" x14ac:dyDescent="0.45">
      <c r="A669" s="17">
        <v>396</v>
      </c>
      <c r="D669" s="17" t="s">
        <v>1573</v>
      </c>
      <c r="E669" s="17" t="s">
        <v>1012</v>
      </c>
      <c r="H669" s="18" t="s">
        <v>1574</v>
      </c>
      <c r="I669" s="18"/>
      <c r="J669" s="17" t="s">
        <v>56</v>
      </c>
      <c r="M669" s="18"/>
      <c r="N669" s="18"/>
    </row>
    <row r="670" spans="1:15" s="17" customFormat="1" ht="28.5" hidden="1" x14ac:dyDescent="0.45">
      <c r="A670" s="17">
        <v>397</v>
      </c>
      <c r="D670" s="17" t="s">
        <v>1575</v>
      </c>
      <c r="E670" s="17" t="s">
        <v>1012</v>
      </c>
      <c r="H670" s="18" t="s">
        <v>1576</v>
      </c>
      <c r="I670" s="18"/>
      <c r="J670" s="17" t="s">
        <v>56</v>
      </c>
      <c r="M670" s="18"/>
      <c r="N670" s="18"/>
    </row>
    <row r="671" spans="1:15" s="17" customFormat="1" ht="57" hidden="1" x14ac:dyDescent="0.45">
      <c r="A671" s="17">
        <v>398</v>
      </c>
      <c r="D671" s="17" t="s">
        <v>1577</v>
      </c>
      <c r="E671" s="17" t="s">
        <v>1012</v>
      </c>
      <c r="H671" s="18" t="s">
        <v>1578</v>
      </c>
      <c r="I671" s="18"/>
      <c r="J671" s="17" t="s">
        <v>141</v>
      </c>
      <c r="L671" s="17" t="s">
        <v>107</v>
      </c>
      <c r="M671" s="23" t="s">
        <v>108</v>
      </c>
      <c r="N671" s="23"/>
      <c r="O671" s="32"/>
    </row>
    <row r="672" spans="1:15" s="17" customFormat="1" ht="99.75" hidden="1" x14ac:dyDescent="0.45">
      <c r="A672" s="17">
        <v>399</v>
      </c>
      <c r="D672" s="17" t="s">
        <v>1579</v>
      </c>
      <c r="E672" s="17" t="s">
        <v>1012</v>
      </c>
      <c r="H672" s="18" t="s">
        <v>1580</v>
      </c>
      <c r="I672" s="18"/>
      <c r="J672" s="17" t="s">
        <v>56</v>
      </c>
      <c r="M672" s="18"/>
      <c r="N672" s="18"/>
    </row>
    <row r="673" spans="1:15" s="17" customFormat="1" ht="28.5" hidden="1" x14ac:dyDescent="0.45">
      <c r="A673" s="17">
        <v>400</v>
      </c>
      <c r="D673" s="17" t="s">
        <v>1581</v>
      </c>
      <c r="E673" s="17" t="s">
        <v>1012</v>
      </c>
      <c r="H673" s="18" t="s">
        <v>1582</v>
      </c>
      <c r="I673" s="18"/>
      <c r="J673" s="17" t="s">
        <v>56</v>
      </c>
      <c r="M673" s="18"/>
      <c r="N673" s="18"/>
    </row>
    <row r="674" spans="1:15" s="17" customFormat="1" ht="71.25" hidden="1" x14ac:dyDescent="0.45">
      <c r="A674" s="17">
        <v>401</v>
      </c>
      <c r="D674" s="17" t="s">
        <v>1583</v>
      </c>
      <c r="E674" s="17" t="s">
        <v>1012</v>
      </c>
      <c r="H674" s="18" t="s">
        <v>1584</v>
      </c>
      <c r="I674" s="18"/>
      <c r="J674" s="17" t="s">
        <v>56</v>
      </c>
      <c r="M674" s="18"/>
      <c r="N674" s="18"/>
    </row>
    <row r="675" spans="1:15" s="17" customFormat="1" ht="171" hidden="1" x14ac:dyDescent="0.45">
      <c r="A675" s="17">
        <v>402</v>
      </c>
      <c r="D675" s="17" t="s">
        <v>1585</v>
      </c>
      <c r="E675" s="17" t="s">
        <v>1012</v>
      </c>
      <c r="H675" s="18" t="s">
        <v>1586</v>
      </c>
      <c r="I675" s="18"/>
      <c r="J675" s="17" t="s">
        <v>56</v>
      </c>
      <c r="M675" s="18"/>
      <c r="N675" s="18"/>
    </row>
    <row r="676" spans="1:15" s="17" customFormat="1" ht="28.5" hidden="1" x14ac:dyDescent="0.45">
      <c r="A676" s="17">
        <v>403</v>
      </c>
      <c r="D676" s="17" t="s">
        <v>1587</v>
      </c>
      <c r="E676" s="17" t="s">
        <v>1012</v>
      </c>
      <c r="H676" s="18" t="s">
        <v>1588</v>
      </c>
      <c r="I676" s="18"/>
      <c r="J676" s="17" t="s">
        <v>56</v>
      </c>
      <c r="M676" s="18"/>
      <c r="N676" s="18"/>
    </row>
    <row r="677" spans="1:15" s="17" customFormat="1" ht="185.25" hidden="1" x14ac:dyDescent="0.45">
      <c r="A677" s="17">
        <v>404</v>
      </c>
      <c r="D677" s="17" t="s">
        <v>1239</v>
      </c>
      <c r="E677" s="17" t="s">
        <v>1012</v>
      </c>
      <c r="H677" s="18" t="s">
        <v>1589</v>
      </c>
      <c r="I677" s="18"/>
      <c r="J677" s="17" t="s">
        <v>56</v>
      </c>
      <c r="M677" s="18"/>
      <c r="N677" s="18"/>
    </row>
    <row r="678" spans="1:15" s="17" customFormat="1" ht="28.5" hidden="1" x14ac:dyDescent="0.45">
      <c r="A678" s="17">
        <v>405</v>
      </c>
      <c r="D678" s="17" t="s">
        <v>1590</v>
      </c>
      <c r="E678" s="17" t="s">
        <v>1012</v>
      </c>
      <c r="H678" s="18" t="s">
        <v>1591</v>
      </c>
      <c r="I678" s="18"/>
      <c r="J678" s="17" t="s">
        <v>56</v>
      </c>
      <c r="L678" s="17" t="s">
        <v>210</v>
      </c>
      <c r="M678" s="23" t="s">
        <v>211</v>
      </c>
      <c r="N678" s="23"/>
      <c r="O678" s="32"/>
    </row>
    <row r="679" spans="1:15" s="17" customFormat="1" ht="28.5" hidden="1" x14ac:dyDescent="0.45">
      <c r="A679" s="17">
        <v>406</v>
      </c>
      <c r="D679" s="17" t="s">
        <v>1592</v>
      </c>
      <c r="E679" s="17" t="s">
        <v>1012</v>
      </c>
      <c r="H679" s="18"/>
      <c r="I679" s="18"/>
      <c r="J679" s="17" t="s">
        <v>141</v>
      </c>
      <c r="L679" s="17" t="s">
        <v>107</v>
      </c>
      <c r="M679" s="23" t="s">
        <v>108</v>
      </c>
      <c r="N679" s="23"/>
      <c r="O679" s="32"/>
    </row>
    <row r="680" spans="1:15" s="17" customFormat="1" ht="242.25" hidden="1" x14ac:dyDescent="0.45">
      <c r="A680" s="17">
        <v>407</v>
      </c>
      <c r="D680" s="17" t="s">
        <v>1593</v>
      </c>
      <c r="E680" s="17" t="s">
        <v>1012</v>
      </c>
      <c r="H680" s="18" t="s">
        <v>1594</v>
      </c>
      <c r="I680" s="18"/>
      <c r="J680" s="17" t="s">
        <v>56</v>
      </c>
      <c r="M680" s="18"/>
      <c r="N680" s="18"/>
    </row>
    <row r="681" spans="1:15" s="17" customFormat="1" ht="28.5" hidden="1" x14ac:dyDescent="0.45">
      <c r="A681" s="17">
        <v>408</v>
      </c>
      <c r="D681" s="17" t="s">
        <v>1595</v>
      </c>
      <c r="E681" s="17" t="s">
        <v>1012</v>
      </c>
      <c r="H681" s="18" t="s">
        <v>1596</v>
      </c>
      <c r="I681" s="18"/>
      <c r="J681" s="17" t="s">
        <v>56</v>
      </c>
      <c r="M681" s="18"/>
      <c r="N681" s="18"/>
    </row>
    <row r="682" spans="1:15" s="17" customFormat="1" ht="270.75" hidden="1" x14ac:dyDescent="0.45">
      <c r="A682" s="17">
        <v>409</v>
      </c>
      <c r="D682" s="17" t="s">
        <v>1597</v>
      </c>
      <c r="E682" s="17" t="s">
        <v>1012</v>
      </c>
      <c r="H682" s="18" t="s">
        <v>1598</v>
      </c>
      <c r="I682" s="18"/>
      <c r="J682" s="17" t="s">
        <v>56</v>
      </c>
      <c r="M682" s="18"/>
      <c r="N682" s="18"/>
    </row>
    <row r="683" spans="1:15" s="17" customFormat="1" ht="28.5" hidden="1" x14ac:dyDescent="0.45">
      <c r="A683" s="17">
        <v>410</v>
      </c>
      <c r="D683" s="17" t="s">
        <v>1599</v>
      </c>
      <c r="E683" s="17" t="s">
        <v>1012</v>
      </c>
      <c r="H683" s="18" t="s">
        <v>1600</v>
      </c>
      <c r="I683" s="18"/>
      <c r="J683" s="17" t="s">
        <v>56</v>
      </c>
      <c r="M683" s="18"/>
      <c r="N683" s="18"/>
    </row>
    <row r="684" spans="1:15" s="17" customFormat="1" ht="57" hidden="1" x14ac:dyDescent="0.45">
      <c r="A684" s="17">
        <v>411</v>
      </c>
      <c r="D684" s="17" t="s">
        <v>1601</v>
      </c>
      <c r="E684" s="17" t="s">
        <v>1012</v>
      </c>
      <c r="H684" s="18" t="s">
        <v>1602</v>
      </c>
      <c r="I684" s="18"/>
      <c r="J684" s="17" t="s">
        <v>56</v>
      </c>
      <c r="M684" s="18"/>
      <c r="N684" s="18"/>
    </row>
    <row r="685" spans="1:15" s="17" customFormat="1" ht="85.5" hidden="1" x14ac:dyDescent="0.45">
      <c r="A685" s="17">
        <v>412</v>
      </c>
      <c r="D685" s="17" t="s">
        <v>1603</v>
      </c>
      <c r="E685" s="17" t="s">
        <v>1012</v>
      </c>
      <c r="H685" s="18" t="s">
        <v>1604</v>
      </c>
      <c r="I685" s="18"/>
      <c r="J685" s="17" t="s">
        <v>106</v>
      </c>
      <c r="L685" s="17" t="s">
        <v>107</v>
      </c>
      <c r="M685" s="23" t="s">
        <v>108</v>
      </c>
      <c r="N685" s="23"/>
      <c r="O685" s="32"/>
    </row>
    <row r="686" spans="1:15" s="17" customFormat="1" ht="313.5" hidden="1" x14ac:dyDescent="0.45">
      <c r="A686" s="17">
        <v>413</v>
      </c>
      <c r="D686" s="17" t="s">
        <v>1605</v>
      </c>
      <c r="E686" s="17" t="s">
        <v>1012</v>
      </c>
      <c r="H686" s="18" t="s">
        <v>1606</v>
      </c>
      <c r="I686" s="18"/>
      <c r="J686" s="17" t="s">
        <v>141</v>
      </c>
      <c r="L686" s="17" t="s">
        <v>107</v>
      </c>
      <c r="M686" s="23" t="s">
        <v>108</v>
      </c>
      <c r="N686" s="23"/>
      <c r="O686" s="32"/>
    </row>
    <row r="687" spans="1:15" s="17" customFormat="1" ht="85.5" hidden="1" x14ac:dyDescent="0.45">
      <c r="A687" s="17">
        <v>414</v>
      </c>
      <c r="D687" s="17" t="s">
        <v>1607</v>
      </c>
      <c r="E687" s="17" t="s">
        <v>1012</v>
      </c>
      <c r="H687" s="18" t="s">
        <v>1608</v>
      </c>
      <c r="I687" s="18"/>
      <c r="J687" s="17" t="s">
        <v>56</v>
      </c>
      <c r="M687" s="18"/>
      <c r="N687" s="18"/>
    </row>
    <row r="688" spans="1:15" s="17" customFormat="1" ht="256.5" hidden="1" x14ac:dyDescent="0.45">
      <c r="A688" s="17">
        <v>415</v>
      </c>
      <c r="D688" s="17" t="s">
        <v>1609</v>
      </c>
      <c r="E688" s="17" t="s">
        <v>1012</v>
      </c>
      <c r="H688" s="18" t="s">
        <v>1610</v>
      </c>
      <c r="I688" s="18"/>
      <c r="J688" s="17" t="s">
        <v>141</v>
      </c>
      <c r="L688" s="17" t="s">
        <v>107</v>
      </c>
      <c r="M688" s="23" t="s">
        <v>108</v>
      </c>
      <c r="N688" s="23"/>
      <c r="O688" s="32"/>
    </row>
    <row r="689" spans="1:15" s="17" customFormat="1" ht="256.5" hidden="1" x14ac:dyDescent="0.45">
      <c r="A689" s="17">
        <v>416</v>
      </c>
      <c r="D689" s="17" t="s">
        <v>1611</v>
      </c>
      <c r="E689" s="17" t="s">
        <v>1012</v>
      </c>
      <c r="H689" s="18" t="s">
        <v>1612</v>
      </c>
      <c r="I689" s="18"/>
      <c r="J689" s="17" t="s">
        <v>56</v>
      </c>
      <c r="M689" s="18"/>
      <c r="N689" s="18"/>
    </row>
    <row r="690" spans="1:15" s="17" customFormat="1" hidden="1" x14ac:dyDescent="0.45">
      <c r="A690" s="17">
        <v>417</v>
      </c>
      <c r="D690" s="17" t="s">
        <v>1613</v>
      </c>
      <c r="E690" s="17" t="s">
        <v>1012</v>
      </c>
      <c r="H690" s="18" t="s">
        <v>1614</v>
      </c>
      <c r="I690" s="18"/>
      <c r="J690" s="17" t="s">
        <v>56</v>
      </c>
      <c r="M690" s="18"/>
      <c r="N690" s="18"/>
    </row>
    <row r="691" spans="1:15" s="17" customFormat="1" ht="28.5" hidden="1" x14ac:dyDescent="0.45">
      <c r="A691" s="17">
        <v>418</v>
      </c>
      <c r="D691" s="17" t="s">
        <v>1615</v>
      </c>
      <c r="E691" s="17" t="s">
        <v>1012</v>
      </c>
      <c r="H691" s="18" t="s">
        <v>1616</v>
      </c>
      <c r="I691" s="18"/>
      <c r="J691" s="17" t="s">
        <v>56</v>
      </c>
      <c r="M691" s="18"/>
      <c r="N691" s="18"/>
    </row>
    <row r="692" spans="1:15" s="17" customFormat="1" ht="42.75" hidden="1" x14ac:dyDescent="0.45">
      <c r="A692" s="17">
        <v>419</v>
      </c>
      <c r="D692" s="17" t="s">
        <v>1617</v>
      </c>
      <c r="E692" s="17" t="s">
        <v>1012</v>
      </c>
      <c r="H692" s="18" t="s">
        <v>1618</v>
      </c>
      <c r="I692" s="18"/>
      <c r="J692" s="17" t="s">
        <v>56</v>
      </c>
      <c r="L692" s="17" t="s">
        <v>626</v>
      </c>
      <c r="M692" s="23" t="s">
        <v>905</v>
      </c>
      <c r="N692" s="23"/>
      <c r="O692" s="32"/>
    </row>
    <row r="693" spans="1:15" s="17" customFormat="1" ht="28.5" hidden="1" x14ac:dyDescent="0.45">
      <c r="A693" s="17">
        <v>420</v>
      </c>
      <c r="D693" s="17" t="s">
        <v>1619</v>
      </c>
      <c r="E693" s="17" t="s">
        <v>1012</v>
      </c>
      <c r="H693" s="18" t="s">
        <v>1620</v>
      </c>
      <c r="I693" s="18"/>
      <c r="J693" s="17" t="s">
        <v>56</v>
      </c>
      <c r="M693" s="18"/>
      <c r="N693" s="18"/>
    </row>
    <row r="694" spans="1:15" s="17" customFormat="1" ht="28.5" hidden="1" x14ac:dyDescent="0.45">
      <c r="A694" s="17">
        <v>421</v>
      </c>
      <c r="D694" s="17" t="s">
        <v>1621</v>
      </c>
      <c r="E694" s="17" t="s">
        <v>1622</v>
      </c>
      <c r="H694" s="18"/>
      <c r="I694" s="18"/>
      <c r="J694" s="17" t="s">
        <v>106</v>
      </c>
      <c r="L694" s="17" t="s">
        <v>107</v>
      </c>
      <c r="M694" s="23" t="s">
        <v>108</v>
      </c>
      <c r="N694" s="23"/>
      <c r="O694" s="32"/>
    </row>
    <row r="695" spans="1:15" s="17" customFormat="1" ht="28.5" hidden="1" x14ac:dyDescent="0.45">
      <c r="A695" s="17">
        <v>422</v>
      </c>
      <c r="D695" s="17" t="s">
        <v>1623</v>
      </c>
      <c r="E695" s="17" t="s">
        <v>1622</v>
      </c>
      <c r="H695" s="18"/>
      <c r="I695" s="18"/>
      <c r="J695" s="17" t="s">
        <v>225</v>
      </c>
      <c r="L695" s="17" t="s">
        <v>107</v>
      </c>
      <c r="M695" s="23" t="s">
        <v>108</v>
      </c>
      <c r="N695" s="23"/>
      <c r="O695" s="32"/>
    </row>
    <row r="696" spans="1:15" s="17" customFormat="1" ht="28.5" hidden="1" x14ac:dyDescent="0.45">
      <c r="A696" s="17">
        <v>423</v>
      </c>
      <c r="D696" s="17" t="s">
        <v>1624</v>
      </c>
      <c r="E696" s="17" t="s">
        <v>1625</v>
      </c>
      <c r="H696" s="18"/>
      <c r="I696" s="18"/>
      <c r="J696" s="17" t="s">
        <v>225</v>
      </c>
      <c r="L696" s="17" t="s">
        <v>107</v>
      </c>
      <c r="M696" s="23" t="s">
        <v>108</v>
      </c>
      <c r="N696" s="23"/>
      <c r="O696" s="32"/>
    </row>
    <row r="697" spans="1:15" s="17" customFormat="1" hidden="1" x14ac:dyDescent="0.45">
      <c r="A697" s="17">
        <v>686</v>
      </c>
      <c r="D697" s="17" t="s">
        <v>1626</v>
      </c>
      <c r="E697" s="17" t="s">
        <v>1627</v>
      </c>
      <c r="H697" s="18"/>
      <c r="I697" s="18"/>
      <c r="J697" s="17" t="s">
        <v>56</v>
      </c>
      <c r="M697" s="18"/>
      <c r="N697" s="18"/>
    </row>
    <row r="698" spans="1:15" s="17" customFormat="1" ht="42.75" hidden="1" x14ac:dyDescent="0.45">
      <c r="A698" s="17">
        <v>687</v>
      </c>
      <c r="D698" s="17" t="s">
        <v>1628</v>
      </c>
      <c r="E698" s="17" t="s">
        <v>1627</v>
      </c>
      <c r="H698" s="18" t="s">
        <v>1629</v>
      </c>
      <c r="I698" s="18"/>
      <c r="J698" s="17" t="s">
        <v>106</v>
      </c>
      <c r="L698" s="17" t="s">
        <v>107</v>
      </c>
      <c r="M698" s="23" t="s">
        <v>108</v>
      </c>
      <c r="N698" s="23"/>
      <c r="O698" s="32"/>
    </row>
    <row r="699" spans="1:15" s="17" customFormat="1" ht="28.5" hidden="1" x14ac:dyDescent="0.45">
      <c r="A699" s="17">
        <v>688</v>
      </c>
      <c r="D699" s="17" t="s">
        <v>1630</v>
      </c>
      <c r="E699" s="17" t="s">
        <v>1627</v>
      </c>
      <c r="H699" s="18" t="s">
        <v>1631</v>
      </c>
      <c r="I699" s="18"/>
      <c r="J699" s="17" t="s">
        <v>106</v>
      </c>
      <c r="L699" s="17" t="s">
        <v>107</v>
      </c>
      <c r="M699" s="23" t="s">
        <v>108</v>
      </c>
      <c r="N699" s="23"/>
      <c r="O699" s="32"/>
    </row>
    <row r="700" spans="1:15" s="17" customFormat="1" ht="28.5" hidden="1" x14ac:dyDescent="0.45">
      <c r="A700" s="17">
        <v>689</v>
      </c>
      <c r="D700" s="17" t="s">
        <v>1632</v>
      </c>
      <c r="E700" s="17" t="s">
        <v>1627</v>
      </c>
      <c r="H700" s="18"/>
      <c r="I700" s="18"/>
      <c r="J700" s="17" t="s">
        <v>106</v>
      </c>
      <c r="L700" s="17" t="s">
        <v>107</v>
      </c>
      <c r="M700" s="23" t="s">
        <v>108</v>
      </c>
      <c r="N700" s="23"/>
      <c r="O700" s="32"/>
    </row>
    <row r="701" spans="1:15" s="17" customFormat="1" ht="28.5" hidden="1" x14ac:dyDescent="0.45">
      <c r="A701" s="17">
        <v>690</v>
      </c>
      <c r="D701" s="17" t="s">
        <v>1633</v>
      </c>
      <c r="E701" s="17" t="s">
        <v>1627</v>
      </c>
      <c r="H701" s="18"/>
      <c r="I701" s="18"/>
      <c r="J701" s="17" t="s">
        <v>251</v>
      </c>
      <c r="L701" s="17" t="s">
        <v>107</v>
      </c>
      <c r="M701" s="23" t="s">
        <v>108</v>
      </c>
      <c r="N701" s="23"/>
      <c r="O701" s="32"/>
    </row>
    <row r="702" spans="1:15" s="17" customFormat="1" ht="28.5" hidden="1" x14ac:dyDescent="0.45">
      <c r="A702" s="17">
        <v>691</v>
      </c>
      <c r="D702" s="17" t="s">
        <v>809</v>
      </c>
      <c r="E702" s="17" t="s">
        <v>1627</v>
      </c>
      <c r="H702" s="18"/>
      <c r="I702" s="18"/>
      <c r="J702" s="17" t="s">
        <v>56</v>
      </c>
      <c r="L702" s="17" t="s">
        <v>107</v>
      </c>
      <c r="M702" s="23" t="s">
        <v>108</v>
      </c>
      <c r="N702" s="23"/>
      <c r="O702" s="32"/>
    </row>
    <row r="703" spans="1:15" s="17" customFormat="1" ht="28.5" hidden="1" x14ac:dyDescent="0.45">
      <c r="A703" s="17">
        <v>692</v>
      </c>
      <c r="D703" s="17" t="s">
        <v>1634</v>
      </c>
      <c r="E703" s="17" t="s">
        <v>1627</v>
      </c>
      <c r="H703" s="18"/>
      <c r="I703" s="18"/>
      <c r="J703" s="17" t="s">
        <v>56</v>
      </c>
      <c r="L703" s="17" t="s">
        <v>371</v>
      </c>
      <c r="M703" s="23" t="s">
        <v>372</v>
      </c>
      <c r="N703" s="23"/>
      <c r="O703" s="32"/>
    </row>
    <row r="704" spans="1:15" s="17" customFormat="1" ht="28.5" hidden="1" x14ac:dyDescent="0.45">
      <c r="A704" s="17">
        <v>693</v>
      </c>
      <c r="D704" s="17" t="s">
        <v>1635</v>
      </c>
      <c r="E704" s="17" t="s">
        <v>1627</v>
      </c>
      <c r="H704" s="18"/>
      <c r="I704" s="18"/>
      <c r="J704" s="17" t="s">
        <v>56</v>
      </c>
      <c r="L704" s="17" t="s">
        <v>195</v>
      </c>
      <c r="M704" s="23" t="s">
        <v>196</v>
      </c>
      <c r="N704" s="23"/>
      <c r="O704" s="32"/>
    </row>
    <row r="705" spans="1:15" s="17" customFormat="1" ht="28.5" hidden="1" x14ac:dyDescent="0.45">
      <c r="A705" s="17">
        <v>694</v>
      </c>
      <c r="D705" s="17" t="s">
        <v>1636</v>
      </c>
      <c r="E705" s="17" t="s">
        <v>1627</v>
      </c>
      <c r="H705" s="18"/>
      <c r="I705" s="18"/>
      <c r="J705" s="17" t="s">
        <v>56</v>
      </c>
      <c r="L705" s="17" t="s">
        <v>626</v>
      </c>
      <c r="M705" s="23" t="s">
        <v>905</v>
      </c>
      <c r="N705" s="23"/>
      <c r="O705" s="32"/>
    </row>
    <row r="706" spans="1:15" s="17" customFormat="1" ht="28.5" hidden="1" x14ac:dyDescent="0.45">
      <c r="A706" s="17">
        <v>695</v>
      </c>
      <c r="D706" s="17" t="s">
        <v>1637</v>
      </c>
      <c r="E706" s="17" t="s">
        <v>1627</v>
      </c>
      <c r="H706" s="18"/>
      <c r="I706" s="18"/>
      <c r="J706" s="17" t="s">
        <v>56</v>
      </c>
      <c r="L706" s="17" t="s">
        <v>626</v>
      </c>
      <c r="M706" s="23" t="s">
        <v>905</v>
      </c>
      <c r="N706" s="23"/>
      <c r="O706" s="32"/>
    </row>
    <row r="707" spans="1:15" s="17" customFormat="1" ht="28.5" hidden="1" x14ac:dyDescent="0.45">
      <c r="A707" s="17">
        <v>696</v>
      </c>
      <c r="D707" s="17" t="s">
        <v>1638</v>
      </c>
      <c r="E707" s="17" t="s">
        <v>1627</v>
      </c>
      <c r="H707" s="18"/>
      <c r="I707" s="18"/>
      <c r="J707" s="17" t="s">
        <v>225</v>
      </c>
      <c r="L707" s="17" t="s">
        <v>107</v>
      </c>
      <c r="M707" s="23" t="s">
        <v>108</v>
      </c>
      <c r="N707" s="23"/>
      <c r="O707" s="32"/>
    </row>
    <row r="708" spans="1:15" s="17" customFormat="1" hidden="1" x14ac:dyDescent="0.45">
      <c r="A708" s="17">
        <v>697</v>
      </c>
      <c r="D708" s="17" t="s">
        <v>1639</v>
      </c>
      <c r="E708" s="17" t="s">
        <v>1627</v>
      </c>
      <c r="H708" s="18"/>
      <c r="I708" s="18"/>
      <c r="J708" s="17" t="s">
        <v>56</v>
      </c>
      <c r="M708" s="18"/>
      <c r="N708" s="18"/>
    </row>
    <row r="709" spans="1:15" s="17" customFormat="1" ht="28.5" hidden="1" x14ac:dyDescent="0.45">
      <c r="A709" s="17">
        <v>698</v>
      </c>
      <c r="D709" s="17" t="s">
        <v>1640</v>
      </c>
      <c r="E709" s="17" t="s">
        <v>1627</v>
      </c>
      <c r="H709" s="18"/>
      <c r="I709" s="18"/>
      <c r="J709" s="17" t="s">
        <v>251</v>
      </c>
      <c r="L709" s="17" t="s">
        <v>107</v>
      </c>
      <c r="M709" s="23" t="s">
        <v>108</v>
      </c>
      <c r="N709" s="23"/>
      <c r="O709" s="32"/>
    </row>
    <row r="710" spans="1:15" s="17" customFormat="1" ht="28.5" hidden="1" x14ac:dyDescent="0.45">
      <c r="A710" s="17">
        <v>699</v>
      </c>
      <c r="D710" s="17" t="s">
        <v>1641</v>
      </c>
      <c r="E710" s="17" t="s">
        <v>1627</v>
      </c>
      <c r="H710" s="18"/>
      <c r="I710" s="18"/>
      <c r="J710" s="17" t="s">
        <v>56</v>
      </c>
      <c r="L710" s="17" t="s">
        <v>107</v>
      </c>
      <c r="M710" s="23" t="s">
        <v>108</v>
      </c>
      <c r="N710" s="23"/>
      <c r="O710" s="32"/>
    </row>
    <row r="711" spans="1:15" s="17" customFormat="1" ht="114" hidden="1" x14ac:dyDescent="0.45">
      <c r="A711" s="17">
        <v>700</v>
      </c>
      <c r="D711" s="17" t="s">
        <v>1642</v>
      </c>
      <c r="E711" s="17" t="s">
        <v>1627</v>
      </c>
      <c r="H711" s="18"/>
      <c r="I711" s="18"/>
      <c r="J711" s="17" t="s">
        <v>225</v>
      </c>
      <c r="L711" s="17" t="s">
        <v>248</v>
      </c>
      <c r="M711" s="23" t="s">
        <v>249</v>
      </c>
      <c r="N711" s="23"/>
      <c r="O711" s="32"/>
    </row>
    <row r="712" spans="1:15" s="17" customFormat="1" ht="57" hidden="1" x14ac:dyDescent="0.45">
      <c r="A712" s="17">
        <v>701</v>
      </c>
      <c r="D712" s="17" t="s">
        <v>1643</v>
      </c>
      <c r="E712" s="17" t="s">
        <v>1627</v>
      </c>
      <c r="H712" s="18" t="s">
        <v>1644</v>
      </c>
      <c r="I712" s="18"/>
      <c r="J712" s="17" t="s">
        <v>225</v>
      </c>
      <c r="L712" s="17" t="s">
        <v>1645</v>
      </c>
      <c r="M712" s="23" t="s">
        <v>1646</v>
      </c>
      <c r="N712" s="23"/>
      <c r="O712" s="32"/>
    </row>
    <row r="713" spans="1:15" s="17" customFormat="1" ht="28.5" hidden="1" x14ac:dyDescent="0.45">
      <c r="A713" s="17">
        <v>702</v>
      </c>
      <c r="D713" s="17" t="s">
        <v>1647</v>
      </c>
      <c r="E713" s="17" t="s">
        <v>1627</v>
      </c>
      <c r="H713" s="18"/>
      <c r="I713" s="18"/>
      <c r="J713" s="17" t="s">
        <v>225</v>
      </c>
      <c r="L713" s="17" t="s">
        <v>107</v>
      </c>
      <c r="M713" s="23" t="s">
        <v>108</v>
      </c>
      <c r="N713" s="23"/>
      <c r="O713" s="32"/>
    </row>
    <row r="714" spans="1:15" s="17" customFormat="1" ht="28.5" hidden="1" x14ac:dyDescent="0.45">
      <c r="A714" s="17">
        <v>703</v>
      </c>
      <c r="D714" s="17" t="s">
        <v>1648</v>
      </c>
      <c r="E714" s="17" t="s">
        <v>1627</v>
      </c>
      <c r="H714" s="18"/>
      <c r="I714" s="18"/>
      <c r="J714" s="17" t="s">
        <v>225</v>
      </c>
      <c r="L714" s="17" t="s">
        <v>107</v>
      </c>
      <c r="M714" s="23" t="s">
        <v>108</v>
      </c>
      <c r="N714" s="23"/>
      <c r="O714" s="32"/>
    </row>
    <row r="715" spans="1:15" s="17" customFormat="1" ht="28.5" hidden="1" x14ac:dyDescent="0.45">
      <c r="A715" s="17">
        <v>704</v>
      </c>
      <c r="D715" s="17" t="s">
        <v>1649</v>
      </c>
      <c r="E715" s="17" t="s">
        <v>1627</v>
      </c>
      <c r="H715" s="18"/>
      <c r="I715" s="18"/>
      <c r="J715" s="17" t="s">
        <v>225</v>
      </c>
      <c r="L715" s="17" t="s">
        <v>107</v>
      </c>
      <c r="M715" s="23" t="s">
        <v>108</v>
      </c>
      <c r="N715" s="23"/>
      <c r="O715" s="32"/>
    </row>
    <row r="716" spans="1:15" s="17" customFormat="1" hidden="1" x14ac:dyDescent="0.45">
      <c r="A716" s="17">
        <v>727</v>
      </c>
      <c r="D716" s="17" t="s">
        <v>1650</v>
      </c>
      <c r="E716" s="17" t="s">
        <v>1650</v>
      </c>
      <c r="H716" s="18"/>
      <c r="I716" s="18"/>
      <c r="J716" s="17" t="s">
        <v>56</v>
      </c>
      <c r="M716" s="18"/>
      <c r="N716" s="18"/>
    </row>
    <row r="717" spans="1:15" s="17" customFormat="1" hidden="1" x14ac:dyDescent="0.45">
      <c r="A717" s="17">
        <v>728</v>
      </c>
      <c r="D717" s="17" t="s">
        <v>1651</v>
      </c>
      <c r="E717" s="17" t="s">
        <v>1652</v>
      </c>
      <c r="H717" s="18"/>
      <c r="I717" s="18"/>
      <c r="J717" s="17" t="s">
        <v>56</v>
      </c>
      <c r="M717" s="18"/>
      <c r="N717" s="18"/>
    </row>
    <row r="718" spans="1:15" s="17" customFormat="1" ht="99.75" hidden="1" x14ac:dyDescent="0.45">
      <c r="A718" s="17">
        <v>729</v>
      </c>
      <c r="D718" s="17" t="s">
        <v>567</v>
      </c>
      <c r="E718" s="17" t="s">
        <v>1652</v>
      </c>
      <c r="H718" s="18" t="s">
        <v>1653</v>
      </c>
      <c r="I718" s="18"/>
      <c r="J718" s="17" t="s">
        <v>56</v>
      </c>
      <c r="M718" s="18"/>
      <c r="N718" s="18"/>
    </row>
    <row r="719" spans="1:15" s="17" customFormat="1" hidden="1" x14ac:dyDescent="0.45">
      <c r="A719" s="17">
        <v>730</v>
      </c>
      <c r="D719" s="17" t="s">
        <v>1654</v>
      </c>
      <c r="E719" s="17" t="s">
        <v>1652</v>
      </c>
      <c r="H719" s="18"/>
      <c r="I719" s="18"/>
      <c r="J719" s="17" t="s">
        <v>56</v>
      </c>
      <c r="M719" s="18"/>
      <c r="N719" s="18"/>
    </row>
    <row r="720" spans="1:15" s="17" customFormat="1" hidden="1" x14ac:dyDescent="0.45">
      <c r="A720" s="17">
        <v>731</v>
      </c>
      <c r="D720" s="17" t="s">
        <v>1655</v>
      </c>
      <c r="E720" s="17" t="s">
        <v>1652</v>
      </c>
      <c r="H720" s="18"/>
      <c r="I720" s="18"/>
      <c r="J720" s="17" t="s">
        <v>56</v>
      </c>
      <c r="M720" s="18"/>
      <c r="N720" s="18"/>
    </row>
    <row r="721" spans="1:15" s="17" customFormat="1" hidden="1" x14ac:dyDescent="0.45">
      <c r="A721" s="17">
        <v>732</v>
      </c>
      <c r="D721" s="17" t="s">
        <v>1656</v>
      </c>
      <c r="E721" s="17" t="s">
        <v>1652</v>
      </c>
      <c r="H721" s="18"/>
      <c r="I721" s="18"/>
      <c r="J721" s="17" t="s">
        <v>56</v>
      </c>
      <c r="M721" s="18"/>
      <c r="N721" s="18"/>
    </row>
    <row r="722" spans="1:15" s="17" customFormat="1" hidden="1" x14ac:dyDescent="0.45">
      <c r="A722" s="17">
        <v>733</v>
      </c>
      <c r="D722" s="17" t="s">
        <v>1657</v>
      </c>
      <c r="E722" s="17" t="s">
        <v>1652</v>
      </c>
      <c r="H722" s="18"/>
      <c r="I722" s="18"/>
      <c r="J722" s="17" t="s">
        <v>56</v>
      </c>
      <c r="M722" s="18"/>
      <c r="N722" s="18"/>
    </row>
    <row r="723" spans="1:15" s="17" customFormat="1" hidden="1" x14ac:dyDescent="0.45">
      <c r="A723" s="17">
        <v>734</v>
      </c>
      <c r="D723" s="17" t="s">
        <v>1023</v>
      </c>
      <c r="E723" s="17" t="s">
        <v>1652</v>
      </c>
      <c r="H723" s="18"/>
      <c r="I723" s="18"/>
      <c r="J723" s="17" t="s">
        <v>56</v>
      </c>
      <c r="M723" s="18"/>
      <c r="N723" s="18"/>
    </row>
    <row r="724" spans="1:15" s="17" customFormat="1" ht="57" hidden="1" x14ac:dyDescent="0.45">
      <c r="A724" s="17">
        <v>735</v>
      </c>
      <c r="D724" s="17" t="s">
        <v>1024</v>
      </c>
      <c r="E724" s="17" t="s">
        <v>1652</v>
      </c>
      <c r="H724" s="18" t="s">
        <v>1658</v>
      </c>
      <c r="I724" s="18"/>
      <c r="J724" s="17" t="s">
        <v>56</v>
      </c>
      <c r="M724" s="18"/>
      <c r="N724" s="18"/>
    </row>
    <row r="725" spans="1:15" s="17" customFormat="1" hidden="1" x14ac:dyDescent="0.45">
      <c r="A725" s="17">
        <v>736</v>
      </c>
      <c r="D725" s="17" t="s">
        <v>1659</v>
      </c>
      <c r="E725" s="17" t="s">
        <v>1652</v>
      </c>
      <c r="H725" s="18"/>
      <c r="I725" s="18"/>
      <c r="J725" s="17" t="s">
        <v>56</v>
      </c>
      <c r="M725" s="18"/>
      <c r="N725" s="18"/>
    </row>
    <row r="726" spans="1:15" s="17" customFormat="1" hidden="1" x14ac:dyDescent="0.45">
      <c r="A726" s="17">
        <v>737</v>
      </c>
      <c r="D726" s="17" t="s">
        <v>1660</v>
      </c>
      <c r="E726" s="17" t="s">
        <v>1652</v>
      </c>
      <c r="H726" s="18" t="s">
        <v>1661</v>
      </c>
      <c r="I726" s="18"/>
      <c r="J726" s="17" t="s">
        <v>56</v>
      </c>
      <c r="M726" s="18"/>
      <c r="N726" s="18"/>
    </row>
    <row r="727" spans="1:15" s="17" customFormat="1" ht="28.5" hidden="1" x14ac:dyDescent="0.45">
      <c r="A727" s="17">
        <v>738</v>
      </c>
      <c r="D727" s="17" t="s">
        <v>1662</v>
      </c>
      <c r="E727" s="17" t="s">
        <v>1652</v>
      </c>
      <c r="H727" s="18" t="s">
        <v>1663</v>
      </c>
      <c r="I727" s="18"/>
      <c r="J727" s="17" t="s">
        <v>56</v>
      </c>
      <c r="M727" s="18"/>
      <c r="N727" s="18"/>
    </row>
    <row r="728" spans="1:15" s="17" customFormat="1" hidden="1" x14ac:dyDescent="0.45">
      <c r="A728" s="17">
        <v>739</v>
      </c>
      <c r="D728" s="17" t="s">
        <v>1664</v>
      </c>
      <c r="E728" s="17" t="s">
        <v>1652</v>
      </c>
      <c r="H728" s="18"/>
      <c r="I728" s="18"/>
      <c r="J728" s="17" t="s">
        <v>56</v>
      </c>
      <c r="M728" s="18"/>
      <c r="N728" s="18"/>
    </row>
    <row r="729" spans="1:15" s="17" customFormat="1" ht="71.25" hidden="1" x14ac:dyDescent="0.45">
      <c r="A729" s="17">
        <v>740</v>
      </c>
      <c r="D729" s="17" t="s">
        <v>1357</v>
      </c>
      <c r="E729" s="17" t="s">
        <v>1652</v>
      </c>
      <c r="H729" s="18" t="s">
        <v>1665</v>
      </c>
      <c r="I729" s="18"/>
      <c r="J729" s="17" t="s">
        <v>56</v>
      </c>
      <c r="M729" s="18"/>
      <c r="N729" s="18"/>
    </row>
    <row r="730" spans="1:15" s="17" customFormat="1" ht="57" hidden="1" x14ac:dyDescent="0.45">
      <c r="A730" s="17">
        <v>741</v>
      </c>
      <c r="D730" s="17" t="s">
        <v>656</v>
      </c>
      <c r="E730" s="17" t="s">
        <v>1652</v>
      </c>
      <c r="H730" s="18" t="s">
        <v>1666</v>
      </c>
      <c r="I730" s="18"/>
      <c r="J730" s="17" t="s">
        <v>56</v>
      </c>
      <c r="L730" s="17" t="s">
        <v>336</v>
      </c>
      <c r="M730" s="23" t="s">
        <v>337</v>
      </c>
      <c r="N730" s="23"/>
      <c r="O730" s="32"/>
    </row>
    <row r="731" spans="1:15" s="17" customFormat="1" hidden="1" x14ac:dyDescent="0.45">
      <c r="A731" s="17">
        <v>742</v>
      </c>
      <c r="D731" s="17" t="s">
        <v>1667</v>
      </c>
      <c r="E731" s="17" t="s">
        <v>1652</v>
      </c>
      <c r="H731" s="18"/>
      <c r="I731" s="18"/>
      <c r="J731" s="17" t="s">
        <v>56</v>
      </c>
      <c r="M731" s="18"/>
      <c r="N731" s="18"/>
    </row>
    <row r="732" spans="1:15" s="17" customFormat="1" hidden="1" x14ac:dyDescent="0.45">
      <c r="A732" s="17">
        <v>743</v>
      </c>
      <c r="D732" s="17" t="s">
        <v>1668</v>
      </c>
      <c r="E732" s="17" t="s">
        <v>1652</v>
      </c>
      <c r="H732" s="18"/>
      <c r="I732" s="18"/>
      <c r="J732" s="17" t="s">
        <v>56</v>
      </c>
      <c r="M732" s="18"/>
      <c r="N732" s="18"/>
    </row>
    <row r="733" spans="1:15" s="17" customFormat="1" hidden="1" x14ac:dyDescent="0.45">
      <c r="A733" s="17">
        <v>744</v>
      </c>
      <c r="D733" s="17" t="s">
        <v>1669</v>
      </c>
      <c r="E733" s="17" t="s">
        <v>1652</v>
      </c>
      <c r="H733" s="18"/>
      <c r="I733" s="18"/>
      <c r="J733" s="17" t="s">
        <v>56</v>
      </c>
      <c r="M733" s="18"/>
      <c r="N733" s="18"/>
    </row>
    <row r="734" spans="1:15" s="17" customFormat="1" hidden="1" x14ac:dyDescent="0.45">
      <c r="A734" s="17">
        <v>745</v>
      </c>
      <c r="D734" s="17" t="s">
        <v>1670</v>
      </c>
      <c r="E734" s="17" t="s">
        <v>1652</v>
      </c>
      <c r="H734" s="18"/>
      <c r="I734" s="18"/>
      <c r="J734" s="17" t="s">
        <v>56</v>
      </c>
      <c r="M734" s="18"/>
      <c r="N734" s="18"/>
    </row>
    <row r="735" spans="1:15" s="17" customFormat="1" ht="57" hidden="1" x14ac:dyDescent="0.45">
      <c r="A735" s="17">
        <v>746</v>
      </c>
      <c r="D735" s="17" t="s">
        <v>1013</v>
      </c>
      <c r="E735" s="17" t="s">
        <v>1652</v>
      </c>
      <c r="H735" s="18" t="s">
        <v>1671</v>
      </c>
      <c r="I735" s="18"/>
      <c r="J735" s="17" t="s">
        <v>56</v>
      </c>
      <c r="M735" s="18"/>
      <c r="N735" s="18"/>
    </row>
    <row r="736" spans="1:15" s="17" customFormat="1" ht="57" hidden="1" x14ac:dyDescent="0.45">
      <c r="A736" s="17">
        <v>747</v>
      </c>
      <c r="D736" s="17" t="s">
        <v>1066</v>
      </c>
      <c r="E736" s="17" t="s">
        <v>1652</v>
      </c>
      <c r="H736" s="18" t="s">
        <v>1672</v>
      </c>
      <c r="I736" s="18"/>
      <c r="J736" s="17" t="s">
        <v>56</v>
      </c>
      <c r="M736" s="18"/>
      <c r="N736" s="18"/>
    </row>
    <row r="737" spans="1:15" s="17" customFormat="1" ht="57" hidden="1" x14ac:dyDescent="0.45">
      <c r="A737" s="17">
        <v>748</v>
      </c>
      <c r="D737" s="17" t="s">
        <v>1060</v>
      </c>
      <c r="E737" s="17" t="s">
        <v>1652</v>
      </c>
      <c r="H737" s="18" t="s">
        <v>1673</v>
      </c>
      <c r="I737" s="18"/>
      <c r="J737" s="17" t="s">
        <v>56</v>
      </c>
      <c r="M737" s="18"/>
      <c r="N737" s="18"/>
    </row>
    <row r="738" spans="1:15" s="17" customFormat="1" ht="85.5" hidden="1" x14ac:dyDescent="0.45">
      <c r="A738" s="17">
        <v>749</v>
      </c>
      <c r="D738" s="17" t="s">
        <v>1674</v>
      </c>
      <c r="E738" s="17" t="s">
        <v>1652</v>
      </c>
      <c r="H738" s="18"/>
      <c r="I738" s="18"/>
      <c r="J738" s="17" t="s">
        <v>56</v>
      </c>
      <c r="L738" s="17" t="s">
        <v>297</v>
      </c>
      <c r="M738" s="23" t="s">
        <v>298</v>
      </c>
      <c r="N738" s="23"/>
      <c r="O738" s="32"/>
    </row>
    <row r="739" spans="1:15" s="17" customFormat="1" hidden="1" x14ac:dyDescent="0.45">
      <c r="A739" s="17">
        <v>750</v>
      </c>
      <c r="D739" s="17" t="s">
        <v>1675</v>
      </c>
      <c r="E739" s="17" t="s">
        <v>1652</v>
      </c>
      <c r="H739" s="18"/>
      <c r="I739" s="18"/>
      <c r="J739" s="17" t="s">
        <v>56</v>
      </c>
      <c r="M739" s="18"/>
      <c r="N739" s="18"/>
    </row>
    <row r="740" spans="1:15" s="17" customFormat="1" ht="28.5" hidden="1" x14ac:dyDescent="0.45">
      <c r="A740" s="17">
        <v>751</v>
      </c>
      <c r="D740" s="17" t="s">
        <v>1676</v>
      </c>
      <c r="E740" s="17" t="s">
        <v>1652</v>
      </c>
      <c r="H740" s="18"/>
      <c r="I740" s="18"/>
      <c r="J740" s="17" t="s">
        <v>56</v>
      </c>
      <c r="L740" s="17" t="s">
        <v>195</v>
      </c>
      <c r="M740" s="23" t="s">
        <v>196</v>
      </c>
      <c r="N740" s="23"/>
      <c r="O740" s="32"/>
    </row>
    <row r="741" spans="1:15" s="17" customFormat="1" hidden="1" x14ac:dyDescent="0.45">
      <c r="A741" s="17">
        <v>752</v>
      </c>
      <c r="D741" s="17" t="s">
        <v>1677</v>
      </c>
      <c r="E741" s="17" t="s">
        <v>1652</v>
      </c>
      <c r="H741" s="18"/>
      <c r="I741" s="18"/>
      <c r="J741" s="17" t="s">
        <v>56</v>
      </c>
      <c r="M741" s="18"/>
      <c r="N741" s="18"/>
    </row>
    <row r="742" spans="1:15" s="17" customFormat="1" ht="71.25" hidden="1" x14ac:dyDescent="0.45">
      <c r="A742" s="17">
        <v>753</v>
      </c>
      <c r="D742" s="17" t="s">
        <v>1678</v>
      </c>
      <c r="E742" s="17" t="s">
        <v>1652</v>
      </c>
      <c r="H742" s="18" t="s">
        <v>1679</v>
      </c>
      <c r="I742" s="18"/>
      <c r="J742" s="17" t="s">
        <v>56</v>
      </c>
      <c r="M742" s="18"/>
      <c r="N742" s="18"/>
    </row>
    <row r="743" spans="1:15" s="17" customFormat="1" ht="28.5" hidden="1" x14ac:dyDescent="0.45">
      <c r="A743" s="17">
        <v>754</v>
      </c>
      <c r="D743" s="17" t="s">
        <v>1680</v>
      </c>
      <c r="E743" s="17" t="s">
        <v>1652</v>
      </c>
      <c r="H743" s="18"/>
      <c r="I743" s="18"/>
      <c r="J743" s="17" t="s">
        <v>56</v>
      </c>
      <c r="L743" s="17" t="s">
        <v>626</v>
      </c>
      <c r="M743" s="23" t="s">
        <v>905</v>
      </c>
      <c r="N743" s="23"/>
      <c r="O743" s="32"/>
    </row>
    <row r="744" spans="1:15" s="17" customFormat="1" hidden="1" x14ac:dyDescent="0.45">
      <c r="A744" s="17">
        <v>755</v>
      </c>
      <c r="D744" s="17" t="s">
        <v>1027</v>
      </c>
      <c r="E744" s="17" t="s">
        <v>1652</v>
      </c>
      <c r="H744" s="18"/>
      <c r="I744" s="18"/>
      <c r="J744" s="17" t="s">
        <v>56</v>
      </c>
      <c r="M744" s="18"/>
      <c r="N744" s="18"/>
    </row>
    <row r="745" spans="1:15" s="17" customFormat="1" hidden="1" x14ac:dyDescent="0.45">
      <c r="A745" s="17">
        <v>756</v>
      </c>
      <c r="D745" s="17" t="s">
        <v>1681</v>
      </c>
      <c r="E745" s="17" t="s">
        <v>1652</v>
      </c>
      <c r="H745" s="18"/>
      <c r="I745" s="18"/>
      <c r="J745" s="17" t="s">
        <v>56</v>
      </c>
      <c r="M745" s="18"/>
      <c r="N745" s="18"/>
    </row>
    <row r="746" spans="1:15" s="17" customFormat="1" hidden="1" x14ac:dyDescent="0.45">
      <c r="A746" s="17">
        <v>757</v>
      </c>
      <c r="D746" s="17" t="s">
        <v>1682</v>
      </c>
      <c r="E746" s="17" t="s">
        <v>1652</v>
      </c>
      <c r="H746" s="18"/>
      <c r="I746" s="18"/>
      <c r="J746" s="17" t="s">
        <v>56</v>
      </c>
      <c r="M746" s="18"/>
      <c r="N746" s="18"/>
    </row>
    <row r="747" spans="1:15" s="17" customFormat="1" ht="71.25" hidden="1" x14ac:dyDescent="0.45">
      <c r="A747" s="17">
        <v>758</v>
      </c>
      <c r="D747" s="17" t="s">
        <v>1236</v>
      </c>
      <c r="E747" s="17" t="s">
        <v>1652</v>
      </c>
      <c r="H747" s="18" t="s">
        <v>1683</v>
      </c>
      <c r="I747" s="18"/>
      <c r="J747" s="17" t="s">
        <v>56</v>
      </c>
      <c r="M747" s="18"/>
      <c r="N747" s="18"/>
    </row>
    <row r="748" spans="1:15" s="17" customFormat="1" ht="57" hidden="1" x14ac:dyDescent="0.45">
      <c r="A748" s="17">
        <v>759</v>
      </c>
      <c r="D748" s="17" t="s">
        <v>1034</v>
      </c>
      <c r="E748" s="17" t="s">
        <v>1652</v>
      </c>
      <c r="H748" s="18" t="s">
        <v>1684</v>
      </c>
      <c r="I748" s="18"/>
      <c r="J748" s="17" t="s">
        <v>141</v>
      </c>
      <c r="L748" s="17" t="s">
        <v>107</v>
      </c>
      <c r="M748" s="23" t="s">
        <v>108</v>
      </c>
      <c r="N748" s="23"/>
      <c r="O748" s="32"/>
    </row>
    <row r="749" spans="1:15" s="17" customFormat="1" ht="42.75" hidden="1" x14ac:dyDescent="0.45">
      <c r="A749" s="17">
        <v>760</v>
      </c>
      <c r="D749" s="17" t="s">
        <v>1081</v>
      </c>
      <c r="E749" s="17" t="s">
        <v>1652</v>
      </c>
      <c r="H749" s="18" t="s">
        <v>1685</v>
      </c>
      <c r="I749" s="18"/>
      <c r="J749" s="17" t="s">
        <v>56</v>
      </c>
      <c r="M749" s="18"/>
      <c r="N749" s="18"/>
    </row>
    <row r="750" spans="1:15" s="17" customFormat="1" hidden="1" x14ac:dyDescent="0.45">
      <c r="A750" s="17">
        <v>761</v>
      </c>
      <c r="D750" s="17" t="s">
        <v>1686</v>
      </c>
      <c r="E750" s="17" t="s">
        <v>1652</v>
      </c>
      <c r="H750" s="18"/>
      <c r="I750" s="18"/>
      <c r="J750" s="17" t="s">
        <v>56</v>
      </c>
      <c r="M750" s="18"/>
      <c r="N750" s="18"/>
    </row>
    <row r="751" spans="1:15" s="17" customFormat="1" ht="57" hidden="1" x14ac:dyDescent="0.45">
      <c r="A751" s="17">
        <v>762</v>
      </c>
      <c r="D751" s="17" t="s">
        <v>1055</v>
      </c>
      <c r="E751" s="17" t="s">
        <v>1652</v>
      </c>
      <c r="H751" s="18" t="s">
        <v>1687</v>
      </c>
      <c r="I751" s="18"/>
      <c r="J751" s="17" t="s">
        <v>56</v>
      </c>
      <c r="L751" s="17" t="s">
        <v>336</v>
      </c>
      <c r="M751" s="23" t="s">
        <v>337</v>
      </c>
      <c r="N751" s="23"/>
      <c r="O751" s="32"/>
    </row>
    <row r="752" spans="1:15" s="17" customFormat="1" ht="28.5" hidden="1" x14ac:dyDescent="0.45">
      <c r="A752" s="17">
        <v>763</v>
      </c>
      <c r="D752" s="17" t="s">
        <v>1688</v>
      </c>
      <c r="E752" s="17" t="s">
        <v>1652</v>
      </c>
      <c r="H752" s="18"/>
      <c r="I752" s="18"/>
      <c r="J752" s="17" t="s">
        <v>106</v>
      </c>
      <c r="L752" s="17" t="s">
        <v>107</v>
      </c>
      <c r="M752" s="23" t="s">
        <v>108</v>
      </c>
      <c r="N752" s="23"/>
      <c r="O752" s="32"/>
    </row>
    <row r="753" spans="1:20" s="17" customFormat="1" ht="28.5" hidden="1" x14ac:dyDescent="0.45">
      <c r="A753" s="17">
        <v>764</v>
      </c>
      <c r="D753" s="17" t="s">
        <v>1689</v>
      </c>
      <c r="E753" s="17" t="s">
        <v>1652</v>
      </c>
      <c r="H753" s="18"/>
      <c r="I753" s="18"/>
      <c r="J753" s="17" t="s">
        <v>106</v>
      </c>
      <c r="L753" s="17" t="s">
        <v>107</v>
      </c>
      <c r="M753" s="23" t="s">
        <v>108</v>
      </c>
      <c r="N753" s="23"/>
      <c r="O753" s="32"/>
    </row>
    <row r="754" spans="1:20" s="17" customFormat="1" ht="114" hidden="1" x14ac:dyDescent="0.45">
      <c r="A754" s="17">
        <v>765</v>
      </c>
      <c r="D754" s="17" t="s">
        <v>1077</v>
      </c>
      <c r="E754" s="17" t="s">
        <v>1652</v>
      </c>
      <c r="H754" s="18" t="s">
        <v>1690</v>
      </c>
      <c r="I754" s="18"/>
      <c r="J754" s="17" t="s">
        <v>56</v>
      </c>
      <c r="M754" s="18"/>
      <c r="N754" s="18"/>
    </row>
    <row r="755" spans="1:20" s="17" customFormat="1" x14ac:dyDescent="0.45">
      <c r="B755" s="17">
        <f>+COUNTA(Table2[mapbaar v5])</f>
        <v>83</v>
      </c>
      <c r="C755" s="17">
        <f>SUBTOTAL(103,Table2[mapbaar v6])</f>
        <v>53</v>
      </c>
      <c r="E755" s="17">
        <f>+COUNTIF(E15:E100,"BusinessObject")</f>
        <v>0</v>
      </c>
      <c r="G755" s="18"/>
      <c r="H755" s="1"/>
      <c r="I755" s="1"/>
      <c r="K755" s="18"/>
      <c r="M755" s="18"/>
      <c r="N755" s="18"/>
      <c r="P755" s="1"/>
      <c r="Q755"/>
      <c r="R755"/>
      <c r="S755" s="1"/>
    </row>
    <row r="756" spans="1:20" s="17" customFormat="1" ht="57" x14ac:dyDescent="0.45">
      <c r="A756" s="18" t="s">
        <v>1691</v>
      </c>
      <c r="B756" s="17">
        <f>COUNTIF(B299:B381,"ja")</f>
        <v>39</v>
      </c>
      <c r="C756" s="17">
        <f>COUNTIF(C299:C381,"ja")</f>
        <v>51</v>
      </c>
      <c r="F756" s="18"/>
      <c r="J756" s="18"/>
      <c r="T756" s="18"/>
    </row>
    <row r="757" spans="1:20" s="17" customFormat="1" x14ac:dyDescent="0.45">
      <c r="F757" s="18"/>
      <c r="J757" s="18"/>
      <c r="T757" s="18"/>
    </row>
    <row r="761" spans="1:20" s="17" customFormat="1" x14ac:dyDescent="0.45">
      <c r="F761" s="18"/>
      <c r="J761" s="18"/>
      <c r="T761" s="18"/>
    </row>
    <row r="762" spans="1:20" s="17" customFormat="1" x14ac:dyDescent="0.45">
      <c r="F762" s="18"/>
      <c r="J762" s="18"/>
      <c r="T762" s="18"/>
    </row>
    <row r="763" spans="1:20" s="17" customFormat="1" x14ac:dyDescent="0.45">
      <c r="F763" s="18"/>
      <c r="J763" s="18"/>
      <c r="T763" s="18"/>
    </row>
    <row r="764" spans="1:20" s="17" customFormat="1" x14ac:dyDescent="0.45">
      <c r="F764" s="18"/>
      <c r="J764" s="18"/>
      <c r="T764" s="18"/>
    </row>
    <row r="765" spans="1:20" s="17" customFormat="1" x14ac:dyDescent="0.45">
      <c r="F765" s="18"/>
      <c r="J765" s="18"/>
      <c r="T765" s="18"/>
    </row>
    <row r="766" spans="1:20" s="17" customFormat="1" x14ac:dyDescent="0.45">
      <c r="F766" s="18"/>
      <c r="J766" s="18"/>
      <c r="T766" s="18"/>
    </row>
    <row r="767" spans="1:20" s="17" customFormat="1" x14ac:dyDescent="0.45">
      <c r="F767" s="18"/>
      <c r="J767" s="18"/>
      <c r="T767" s="18"/>
    </row>
    <row r="768" spans="1:20" s="17" customFormat="1" x14ac:dyDescent="0.45">
      <c r="F768" s="18"/>
      <c r="J768" s="18"/>
      <c r="T768" s="18"/>
    </row>
    <row r="769" spans="6:20" s="17" customFormat="1" x14ac:dyDescent="0.45">
      <c r="F769" s="18"/>
      <c r="J769" s="18"/>
      <c r="T769" s="18"/>
    </row>
    <row r="770" spans="6:20" s="17" customFormat="1" x14ac:dyDescent="0.45">
      <c r="F770" s="18"/>
      <c r="J770" s="18"/>
      <c r="T770" s="18"/>
    </row>
    <row r="771" spans="6:20" s="17" customFormat="1" x14ac:dyDescent="0.45">
      <c r="F771" s="18"/>
      <c r="J771" s="18"/>
      <c r="T771" s="18"/>
    </row>
    <row r="772" spans="6:20" s="17" customFormat="1" x14ac:dyDescent="0.45">
      <c r="F772" s="18"/>
      <c r="J772" s="18"/>
      <c r="T772" s="18"/>
    </row>
    <row r="773" spans="6:20" s="17" customFormat="1" x14ac:dyDescent="0.45">
      <c r="F773" s="18"/>
      <c r="J773" s="18"/>
      <c r="T773" s="18"/>
    </row>
    <row r="774" spans="6:20" s="17" customFormat="1" x14ac:dyDescent="0.45">
      <c r="F774" s="18"/>
      <c r="J774" s="18"/>
      <c r="T774" s="18"/>
    </row>
    <row r="775" spans="6:20" s="17" customFormat="1" x14ac:dyDescent="0.45">
      <c r="F775" s="18"/>
      <c r="J775" s="18"/>
      <c r="T775" s="18"/>
    </row>
    <row r="776" spans="6:20" s="17" customFormat="1" x14ac:dyDescent="0.45">
      <c r="F776" s="18"/>
      <c r="J776" s="18"/>
      <c r="T776" s="18"/>
    </row>
    <row r="777" spans="6:20" s="17" customFormat="1" x14ac:dyDescent="0.45">
      <c r="F777" s="18"/>
      <c r="J777" s="18"/>
      <c r="T777" s="18"/>
    </row>
    <row r="778" spans="6:20" s="17" customFormat="1" x14ac:dyDescent="0.45">
      <c r="F778" s="18"/>
      <c r="J778" s="18"/>
      <c r="T778" s="18"/>
    </row>
    <row r="779" spans="6:20" s="17" customFormat="1" x14ac:dyDescent="0.45">
      <c r="F779" s="18"/>
      <c r="J779" s="18"/>
      <c r="T779" s="18"/>
    </row>
    <row r="780" spans="6:20" s="17" customFormat="1" x14ac:dyDescent="0.45">
      <c r="F780" s="18"/>
      <c r="J780" s="18"/>
      <c r="T780" s="18"/>
    </row>
    <row r="781" spans="6:20" s="17" customFormat="1" x14ac:dyDescent="0.45">
      <c r="F781" s="18"/>
      <c r="J781" s="18"/>
      <c r="T781" s="18"/>
    </row>
  </sheetData>
  <dataConsolidate/>
  <phoneticPr fontId="14" type="noConversion"/>
  <conditionalFormatting sqref="A7:S305 A306:P306 R306:S306 A307:S307 A308:P308 R308:S308 A309:S310 A311:K311 M311:O311 R311:S311 A312:S377 A378:K378 M378:S378 A379:S755">
    <cfRule type="expression" dxfId="5" priority="4">
      <formula>$B7="ja"</formula>
    </cfRule>
  </conditionalFormatting>
  <conditionalFormatting sqref="A312:S377 A7:S305 A306:P306 R306:S306 A307:S307 A308:P308 R308:S308 A309:S310 A311:K311 M311:O311 R311:S311 A378:K378 M378:S378 A379:S755">
    <cfRule type="expression" dxfId="4" priority="3">
      <formula>$B7="nee"</formula>
    </cfRule>
  </conditionalFormatting>
  <conditionalFormatting sqref="P312:Q312">
    <cfRule type="expression" dxfId="3" priority="7">
      <formula>$B311="nee"</formula>
    </cfRule>
    <cfRule type="expression" dxfId="2" priority="8">
      <formula>$B311="ja"</formula>
    </cfRule>
  </conditionalFormatting>
  <conditionalFormatting sqref="S312">
    <cfRule type="expression" dxfId="1" priority="1">
      <formula>$B311="nee"</formula>
    </cfRule>
    <cfRule type="expression" dxfId="0" priority="2">
      <formula>$B311="ja"</formula>
    </cfRule>
  </conditionalFormatting>
  <hyperlinks>
    <hyperlink ref="M305" r:id="rId1" location="tag/program_model" xr:uid="{00000000-0004-0000-0000-000003000000}"/>
    <hyperlink ref="M306" r:id="rId2" location="tag/program_model" xr:uid="{00000000-0004-0000-0000-000004000000}"/>
    <hyperlink ref="M307" r:id="rId3" location="/technical/consumers-and-profiles/rio?id=mapping-programoffering-and-courseoffering-to-rio-aangebodenhoopleidingcohort-aangebodenhoopleidingsonderdeelcohort-and-aangebodenparticuliereopleidingcohort" xr:uid="{00000000-0004-0000-0000-000005000000}"/>
    <hyperlink ref="M328" r:id="rId4" location="tag/program_model" xr:uid="{00000000-0004-0000-0000-000018000000}"/>
    <hyperlink ref="M334" r:id="rId5" location="tag/program_model" xr:uid="{00000000-0004-0000-0000-00001B000000}"/>
    <hyperlink ref="M336" r:id="rId6" location="tag/educationSpecification_model" xr:uid="{00000000-0004-0000-0000-00001D000000}"/>
    <hyperlink ref="M339" r:id="rId7" location="tag/program_model" xr:uid="{00000000-0004-0000-0000-00001E000000}"/>
    <hyperlink ref="M340" r:id="rId8" location="tag/course_model" xr:uid="{00000000-0004-0000-0000-00001F000000}"/>
    <hyperlink ref="M341" r:id="rId9" location="tag/program_model" xr:uid="{00000000-0004-0000-0000-000020000000}"/>
    <hyperlink ref="M345" r:id="rId10" location="tag/person_model" xr:uid="{00000000-0004-0000-0000-000027000000}"/>
    <hyperlink ref="M385" r:id="rId11" location="tag/room_model" xr:uid="{00000000-0004-0000-0000-00002E000000}"/>
    <hyperlink ref="M386" r:id="rId12" location="tag/person_model" xr:uid="{00000000-0004-0000-0000-00002F000000}"/>
    <hyperlink ref="M415" r:id="rId13" location="tag/person_model" xr:uid="{00000000-0004-0000-0000-000030000000}"/>
    <hyperlink ref="M430" r:id="rId14" location="tag/service_model" xr:uid="{00000000-0004-0000-0000-000031000000}"/>
    <hyperlink ref="M432" r:id="rId15" location="tag/person_model" xr:uid="{00000000-0004-0000-0000-000032000000}"/>
    <hyperlink ref="M433" r:id="rId16" location="tag/person_model" xr:uid="{00000000-0004-0000-0000-000033000000}"/>
    <hyperlink ref="M434" r:id="rId17" location="tag/person_model" xr:uid="{00000000-0004-0000-0000-000034000000}"/>
    <hyperlink ref="M435" r:id="rId18" location="tag/building_model" xr:uid="{00000000-0004-0000-0000-000035000000}"/>
    <hyperlink ref="M436" r:id="rId19" location="tag/building_model" xr:uid="{00000000-0004-0000-0000-000036000000}"/>
    <hyperlink ref="M449" r:id="rId20" location="tag/person_model" xr:uid="{00000000-0004-0000-0000-000037000000}"/>
    <hyperlink ref="M457" r:id="rId21" location="tag/person_model" xr:uid="{00000000-0004-0000-0000-000038000000}"/>
    <hyperlink ref="M459" r:id="rId22" location="tag/person_model" xr:uid="{00000000-0004-0000-0000-000039000000}"/>
    <hyperlink ref="M470" r:id="rId23" location="tag/program_model" xr:uid="{00000000-0004-0000-0000-00003A000000}"/>
    <hyperlink ref="M471" r:id="rId24" location="tag/person_model" xr:uid="{00000000-0004-0000-0000-00003B000000}"/>
    <hyperlink ref="M481" r:id="rId25" location="tag/building_model" xr:uid="{00000000-0004-0000-0000-00003C000000}"/>
    <hyperlink ref="M490" r:id="rId26" location="tag/person_model" xr:uid="{00000000-0004-0000-0000-00003D000000}"/>
    <hyperlink ref="M493" r:id="rId27" location="tag/program_model" xr:uid="{00000000-0004-0000-0000-00003E000000}"/>
    <hyperlink ref="M494" r:id="rId28" location="tag/program_model" xr:uid="{00000000-0004-0000-0000-00003F000000}"/>
    <hyperlink ref="M495" r:id="rId29" location="tag/course_model" xr:uid="{00000000-0004-0000-0000-000040000000}"/>
    <hyperlink ref="M501" r:id="rId30" location="tag/component_offering_model; https://openonderwijsapi.nl/specification/v5/docs.html#tag/course_offering_model; https://openonderwijsapi.nl/specification/v5/docs.html#tag/program_offering_model" xr:uid="{00000000-0004-0000-0000-000041000000}"/>
    <hyperlink ref="M514" r:id="rId31" location="tag/organization_model" xr:uid="{00000000-0004-0000-0000-000042000000}"/>
    <hyperlink ref="M515" r:id="rId32" location="tag/person_model" xr:uid="{00000000-0004-0000-0000-000043000000}"/>
    <hyperlink ref="M518" r:id="rId33" location="tag/person_model" xr:uid="{00000000-0004-0000-0000-000044000000}"/>
    <hyperlink ref="M526" r:id="rId34" location="tag/room_model" xr:uid="{00000000-0004-0000-0000-000045000000}"/>
    <hyperlink ref="M530" r:id="rId35" location="tag/component_offering_model; https://openonderwijsapi.nl/specification/v5/docs.html#tag/course_offering_model; https://openonderwijsapi.nl/specification/v5/docs.html#tag/program_offering_model" xr:uid="{00000000-0004-0000-0000-000046000000}"/>
    <hyperlink ref="M535" r:id="rId36" location="tag/person_model" xr:uid="{00000000-0004-0000-0000-000047000000}"/>
    <hyperlink ref="M541" r:id="rId37" location="tag/component_offering_model; https://openonderwijsapi.nl/specification/v5/docs.html#tag/course_offering_model; https://openonderwijsapi.nl/specification/v5/docs.html#tag/person_model; https://openonderwijsapi.nl/specification/v5/docs.html#tag/program_offering_model" xr:uid="{00000000-0004-0000-0000-000048000000}"/>
    <hyperlink ref="M544" r:id="rId38" location="tag/person_model" xr:uid="{00000000-0004-0000-0000-000049000000}"/>
    <hyperlink ref="M545" r:id="rId39" location="tag/person_model" xr:uid="{00000000-0004-0000-0000-00004A000000}"/>
    <hyperlink ref="M555" r:id="rId40" location="tag/person_model" xr:uid="{00000000-0004-0000-0000-00004B000000}"/>
    <hyperlink ref="M557" r:id="rId41" location="tag/person_model" xr:uid="{00000000-0004-0000-0000-00004C000000}"/>
    <hyperlink ref="M561" r:id="rId42" location="tag/room_model" xr:uid="{00000000-0004-0000-0000-00004D000000}"/>
    <hyperlink ref="M570" r:id="rId43" location="tag/program_model" xr:uid="{00000000-0004-0000-0000-00004E000000}"/>
    <hyperlink ref="M571" r:id="rId44" location="tag/person_model" xr:uid="{00000000-0004-0000-0000-00004F000000}"/>
    <hyperlink ref="M572" r:id="rId45" location="tag/person_model" xr:uid="{00000000-0004-0000-0000-000050000000}"/>
    <hyperlink ref="M581" r:id="rId46" location="tag/person_model" xr:uid="{00000000-0004-0000-0000-000051000000}"/>
    <hyperlink ref="M585" r:id="rId47" location="tag/course_model; https://openonderwijsapi.nl/specification/v5/docs.html#tag/education_specification_model; https://openonderwijsapi.nl/specification/v5/docs.html#tag/person_model; https://openonderwijsapi.nl/specification/v5/docs.html#tag/program_model" xr:uid="{00000000-0004-0000-0000-000052000000}"/>
    <hyperlink ref="M590" r:id="rId48" location="tag/person_model" xr:uid="{00000000-0004-0000-0000-000053000000}"/>
    <hyperlink ref="M591" r:id="rId49" location="tag/person_model" xr:uid="{00000000-0004-0000-0000-000054000000}"/>
    <hyperlink ref="M592" r:id="rId50" location="tag/person_model" xr:uid="{00000000-0004-0000-0000-000055000000}"/>
    <hyperlink ref="M593" r:id="rId51" location="tag/person_model" xr:uid="{00000000-0004-0000-0000-000056000000}"/>
    <hyperlink ref="M595" r:id="rId52" location="tag/component_offering_model; https://openonderwijsapi.nl/specification/v5/docs.html#tag/course_offering_model; https://openonderwijsapi.nl/specification/v5/docs.html#tag/program_offering_model" xr:uid="{00000000-0004-0000-0000-000057000000}"/>
    <hyperlink ref="M600" r:id="rId53" location="tag/person_model" xr:uid="{00000000-0004-0000-0000-000058000000}"/>
    <hyperlink ref="M604" r:id="rId54" location="tag/person_model" xr:uid="{00000000-0004-0000-0000-000059000000}"/>
    <hyperlink ref="M609" r:id="rId55" location="tag/person_model" xr:uid="{00000000-0004-0000-0000-00005A000000}"/>
    <hyperlink ref="M610" r:id="rId56" location="tag/service_model" xr:uid="{00000000-0004-0000-0000-00005B000000}"/>
    <hyperlink ref="M620" r:id="rId57" location="tag/person_model" xr:uid="{00000000-0004-0000-0000-00005C000000}"/>
    <hyperlink ref="M621" r:id="rId58" location="tag/person_model" xr:uid="{00000000-0004-0000-0000-00005D000000}"/>
    <hyperlink ref="M622" r:id="rId59" location="tag/component_offering_model; https://openonderwijsapi.nl/specification/v5/docs.html#tag/course_offering_model; https://openonderwijsapi.nl/specification/v5/docs.html#tag/person_model; https://openonderwijsapi.nl/specification/v5/docs.html#tag/program_offering_model" xr:uid="{00000000-0004-0000-0000-00005E000000}"/>
    <hyperlink ref="M623" r:id="rId60" location="tag/person_model" xr:uid="{00000000-0004-0000-0000-00005F000000}"/>
    <hyperlink ref="M624" r:id="rId61" location="tag/person_model" xr:uid="{00000000-0004-0000-0000-000060000000}"/>
    <hyperlink ref="M625" r:id="rId62" location="tag/person_model" xr:uid="{00000000-0004-0000-0000-000061000000}"/>
    <hyperlink ref="M629" r:id="rId63" location="tag/room_model" xr:uid="{00000000-0004-0000-0000-000062000000}"/>
    <hyperlink ref="M631" r:id="rId64" location="tag/person_model" xr:uid="{00000000-0004-0000-0000-000063000000}"/>
    <hyperlink ref="M653" r:id="rId65" location="tag/person_model" xr:uid="{00000000-0004-0000-0000-000064000000}"/>
    <hyperlink ref="M655" r:id="rId66" location="tag/component_offering_model; https://openonderwijsapi.nl/specification/v5/docs.html#tag/course_offering_model; https://openonderwijsapi.nl/specification/v5/docs.html#tag/program_model; https://openonderwijsapi.nl/specification/v5/docs.html#tag/program_offering_model" xr:uid="{00000000-0004-0000-0000-000065000000}"/>
    <hyperlink ref="M656" r:id="rId67" location="tag/person_model" xr:uid="{00000000-0004-0000-0000-000066000000}"/>
    <hyperlink ref="M664" r:id="rId68" location="tag/component_offering_model; https://openonderwijsapi.nl/specification/v5/docs.html#tag/course_offering_model; https://openonderwijsapi.nl/specification/v5/docs.html#tag/program_offering_model" xr:uid="{00000000-0004-0000-0000-000067000000}"/>
    <hyperlink ref="M666" r:id="rId69" location="tag/course_model; https://openonderwijsapi.nl/specification/v5/docs.html#tag/education_specification_model; https://openonderwijsapi.nl/specification/v5/docs.html#tag/person_model; https://openonderwijsapi.nl/specification/v5/docs.html#tag/program_model" xr:uid="{00000000-0004-0000-0000-000068000000}"/>
    <hyperlink ref="M671" r:id="rId70" location="tag/person_model" xr:uid="{00000000-0004-0000-0000-000069000000}"/>
    <hyperlink ref="M678" r:id="rId71" location="tag/service_model" xr:uid="{00000000-0004-0000-0000-00006A000000}"/>
    <hyperlink ref="M679" r:id="rId72" location="tag/person_model" xr:uid="{00000000-0004-0000-0000-00006B000000}"/>
    <hyperlink ref="M685" r:id="rId73" location="tag/person_model" xr:uid="{00000000-0004-0000-0000-00006C000000}"/>
    <hyperlink ref="M686" r:id="rId74" location="tag/person_model" xr:uid="{00000000-0004-0000-0000-00006D000000}"/>
    <hyperlink ref="M688" r:id="rId75" location="tag/person_model" xr:uid="{00000000-0004-0000-0000-00006E000000}"/>
    <hyperlink ref="M692" r:id="rId76" location="tag/organization_model" xr:uid="{00000000-0004-0000-0000-00006F000000}"/>
    <hyperlink ref="M694" r:id="rId77" location="tag/person_model" xr:uid="{00000000-0004-0000-0000-000070000000}"/>
    <hyperlink ref="M695" r:id="rId78" location="tag/person_model" xr:uid="{00000000-0004-0000-0000-000071000000}"/>
    <hyperlink ref="M696" r:id="rId79" location="tag/person_model" xr:uid="{00000000-0004-0000-0000-000072000000}"/>
    <hyperlink ref="M20" r:id="rId80" location="tag/course_offering_model" xr:uid="{00000000-0004-0000-0000-000073000000}"/>
    <hyperlink ref="M30" r:id="rId81" location="tag/person_model" xr:uid="{00000000-0004-0000-0000-000074000000}"/>
    <hyperlink ref="M31" r:id="rId82" location="tag/person_model" xr:uid="{00000000-0004-0000-0000-000075000000}"/>
    <hyperlink ref="M32" r:id="rId83" location="tag/person_model" xr:uid="{00000000-0004-0000-0000-000076000000}"/>
    <hyperlink ref="M36" r:id="rId84" location="tag/building_model" xr:uid="{00000000-0004-0000-0000-000077000000}"/>
    <hyperlink ref="M37" r:id="rId85" location="tag/building_model" xr:uid="{00000000-0004-0000-0000-000078000000}"/>
    <hyperlink ref="M46" r:id="rId86" location="tag/person_model" xr:uid="{00000000-0004-0000-0000-000079000000}"/>
    <hyperlink ref="M51" r:id="rId87" location="tag/course_offering_model" xr:uid="{00000000-0004-0000-0000-00007A000000}"/>
    <hyperlink ref="M62" r:id="rId88" location="tag/course_model; https://openonderwijsapi.nl/specification/v5/docs.html#tag/education_specification_model; https://openonderwijsapi.nl/specification/v5/docs.html#tag/program_model" xr:uid="{00000000-0004-0000-0000-00007B000000}"/>
    <hyperlink ref="M71" r:id="rId89" location="tag/program_model" xr:uid="{00000000-0004-0000-0000-00007C000000}"/>
    <hyperlink ref="M72" r:id="rId90" location="tag/organization_model; https://openonderwijsapi.nl/specification/v5/docs.html#tag/program_model" xr:uid="{00000000-0004-0000-0000-00007D000000}"/>
    <hyperlink ref="M77" r:id="rId91" location="tag/service_model" xr:uid="{00000000-0004-0000-0000-00007E000000}"/>
    <hyperlink ref="M80" r:id="rId92" location="tag/person_model" xr:uid="{00000000-0004-0000-0000-00007F000000}"/>
    <hyperlink ref="M81" r:id="rId93" location="tag/person_model" xr:uid="{00000000-0004-0000-0000-000080000000}"/>
    <hyperlink ref="M82" r:id="rId94" location="tag/person_model" xr:uid="{00000000-0004-0000-0000-000081000000}"/>
    <hyperlink ref="M84" r:id="rId95" location="tag/person_model" xr:uid="{00000000-0004-0000-0000-000082000000}"/>
    <hyperlink ref="M85" r:id="rId96" location="tag/person_model" xr:uid="{00000000-0004-0000-0000-000083000000}"/>
    <hyperlink ref="M86" r:id="rId97" location="tag/person_model" xr:uid="{00000000-0004-0000-0000-000084000000}"/>
    <hyperlink ref="M87" r:id="rId98" location="tag/person_model" xr:uid="{00000000-0004-0000-0000-000085000000}"/>
    <hyperlink ref="M95" r:id="rId99" location="tag/person_model" xr:uid="{00000000-0004-0000-0000-000086000000}"/>
    <hyperlink ref="M96" r:id="rId100" location="tag/course_model; https://openonderwijsapi.nl/specification/v5/docs.html#tag/education_specification_model; https://openonderwijsapi.nl/specification/v5/docs.html#tag/person_model; https://openonderwijsapi.nl/specification/v5/docs.html#tag/program_model" xr:uid="{00000000-0004-0000-0000-000087000000}"/>
    <hyperlink ref="M97" r:id="rId101" location="tag/person_model" xr:uid="{00000000-0004-0000-0000-000088000000}"/>
    <hyperlink ref="M98" r:id="rId102" location="tag/person_model" xr:uid="{00000000-0004-0000-0000-000089000000}"/>
    <hyperlink ref="M99" r:id="rId103" location="tag/person_model" xr:uid="{00000000-0004-0000-0000-00008A000000}"/>
    <hyperlink ref="M100" r:id="rId104" location="tag/person_model" xr:uid="{00000000-0004-0000-0000-00008B000000}"/>
    <hyperlink ref="M101" r:id="rId105" location="tag/person_model" xr:uid="{00000000-0004-0000-0000-00008C000000}"/>
    <hyperlink ref="M102" r:id="rId106" location="tag/person_model" xr:uid="{00000000-0004-0000-0000-00008D000000}"/>
    <hyperlink ref="M107" r:id="rId107" location="tag/service_model" xr:uid="{00000000-0004-0000-0000-00008E000000}"/>
    <hyperlink ref="M110" r:id="rId108" location="tag/service_model" xr:uid="{00000000-0004-0000-0000-00008F000000}"/>
    <hyperlink ref="M111" r:id="rId109" location="tag/person_model" xr:uid="{00000000-0004-0000-0000-000090000000}"/>
    <hyperlink ref="M116" r:id="rId110" location="tag/service_model" xr:uid="{00000000-0004-0000-0000-000091000000}"/>
    <hyperlink ref="M118" r:id="rId111" location="tag/person_model" xr:uid="{00000000-0004-0000-0000-000092000000}"/>
    <hyperlink ref="M120" r:id="rId112" location="tag/news_item_model" xr:uid="{00000000-0004-0000-0000-000093000000}"/>
    <hyperlink ref="M122" r:id="rId113" location="tag/component_offering_model; https://openonderwijsapi.nl/specification/v5/docs.html#tag/course_offering_model; https://openonderwijsapi.nl/specification/v5/docs.html#tag/program_offering_model" xr:uid="{00000000-0004-0000-0000-000094000000}"/>
    <hyperlink ref="M130" r:id="rId114" location="tag/course_offering_model; https://openonderwijsapi.nl/specification/v5/docs.html#tag/service_model" xr:uid="{00000000-0004-0000-0000-000095000000}"/>
    <hyperlink ref="M139" r:id="rId115" location="tag/room_model" xr:uid="{00000000-0004-0000-0000-000096000000}"/>
    <hyperlink ref="M140" r:id="rId116" location="tag/service_model" xr:uid="{00000000-0004-0000-0000-000097000000}"/>
    <hyperlink ref="M141" r:id="rId117" location="tag/service_model" xr:uid="{00000000-0004-0000-0000-000098000000}"/>
    <hyperlink ref="M143" r:id="rId118" location="tag/person_model" xr:uid="{00000000-0004-0000-0000-000099000000}"/>
    <hyperlink ref="M144" r:id="rId119" location="tag/course_model; https://openonderwijsapi.nl/specification/v5/docs.html#tag/education_specification_model; https://openonderwijsapi.nl/specification/v5/docs.html#tag/person_model; https://openonderwijsapi.nl/specification/v5/docs.html#tag/program_model" xr:uid="{00000000-0004-0000-0000-00009A000000}"/>
    <hyperlink ref="M145" r:id="rId120" location="tag/person_model" xr:uid="{00000000-0004-0000-0000-00009B000000}"/>
    <hyperlink ref="M152" r:id="rId121" location="tag/building_model" xr:uid="{00000000-0004-0000-0000-00009C000000}"/>
    <hyperlink ref="M153" r:id="rId122" location="tag/building_model" xr:uid="{00000000-0004-0000-0000-00009D000000}"/>
    <hyperlink ref="M157" r:id="rId123" location="tag/group_model" xr:uid="{00000000-0004-0000-0000-00009E000000}"/>
    <hyperlink ref="M161" r:id="rId124" location="tag/service_model" xr:uid="{00000000-0004-0000-0000-00009F000000}"/>
    <hyperlink ref="M162" r:id="rId125" location="tag/service_model" xr:uid="{00000000-0004-0000-0000-0000A0000000}"/>
    <hyperlink ref="M164" r:id="rId126" location="tag/service_model" xr:uid="{00000000-0004-0000-0000-0000A1000000}"/>
    <hyperlink ref="M165" r:id="rId127" location="tag/service_model" xr:uid="{00000000-0004-0000-0000-0000A2000000}"/>
    <hyperlink ref="M172" r:id="rId128" location="tag/person_model" xr:uid="{00000000-0004-0000-0000-0000A3000000}"/>
    <hyperlink ref="M174" r:id="rId129" location="tag/service_model" xr:uid="{00000000-0004-0000-0000-0000A4000000}"/>
    <hyperlink ref="M192" r:id="rId130" location="tag/service_model" xr:uid="{00000000-0004-0000-0000-0000A5000000}"/>
    <hyperlink ref="M196" r:id="rId131" location="tag/component_offering_model; https://openonderwijsapi.nl/specification/v5/docs.html#tag/course_offering_model; https://openonderwijsapi.nl/specification/v5/docs.html#tag/program_offering_model" xr:uid="{00000000-0004-0000-0000-0000A6000000}"/>
    <hyperlink ref="M202" r:id="rId132" location="tag/course_model; https://openonderwijsapi.nl/specification/v5/docs.html#tag/education_specification_model; https://openonderwijsapi.nl/specification/v5/docs.html#tag/person_model; https://openonderwijsapi.nl/specification/v5/docs.html#tag/program_model" xr:uid="{00000000-0004-0000-0000-0000A7000000}"/>
    <hyperlink ref="M203" r:id="rId133" location="tag/component_offering_model; https://openonderwijsapi.nl/specification/v5/docs.html#tag/course_offering_model; https://openonderwijsapi.nl/specification/v5/docs.html#tag/program_model; https://openonderwijsapi.nl/specification/v5/docs.html#tag/program_offering_model" xr:uid="{00000000-0004-0000-0000-0000A8000000}"/>
    <hyperlink ref="M204" r:id="rId134" location="tag/program_model; https://openonderwijsapi.nl/specification/v5/docs.html#tag/service_model" xr:uid="{00000000-0004-0000-0000-0000A9000000}"/>
    <hyperlink ref="M209" r:id="rId135" location="tag/service_model" xr:uid="{00000000-0004-0000-0000-0000AA000000}"/>
    <hyperlink ref="M210" r:id="rId136" location="tag/service_model" xr:uid="{00000000-0004-0000-0000-0000AB000000}"/>
    <hyperlink ref="M213" r:id="rId137" location="tag/service_model" xr:uid="{00000000-0004-0000-0000-0000AC000000}"/>
    <hyperlink ref="M217" r:id="rId138" location="tag/program_model" xr:uid="{00000000-0004-0000-0000-0000AD000000}"/>
    <hyperlink ref="M222" r:id="rId139" location="tag/room_model" xr:uid="{00000000-0004-0000-0000-0000AE000000}"/>
    <hyperlink ref="M226" r:id="rId140" location="tag/service_model" xr:uid="{00000000-0004-0000-0000-0000AF000000}"/>
    <hyperlink ref="M229" r:id="rId141" location="tag/service_model" xr:uid="{00000000-0004-0000-0000-0000B0000000}"/>
    <hyperlink ref="M233" r:id="rId142" location="tag/person_model" xr:uid="{00000000-0004-0000-0000-0000B1000000}"/>
    <hyperlink ref="M234" r:id="rId143" location="tag/person_model" xr:uid="{00000000-0004-0000-0000-0000B2000000}"/>
    <hyperlink ref="M250" r:id="rId144" location="tag/person_model" xr:uid="{00000000-0004-0000-0000-0000BC000000}"/>
    <hyperlink ref="M251" r:id="rId145" location="tag/service_model" xr:uid="{00000000-0004-0000-0000-0000BD000000}"/>
    <hyperlink ref="M261" r:id="rId146" location="tag/service_model" xr:uid="{00000000-0004-0000-0000-0000BE000000}"/>
    <hyperlink ref="M267" r:id="rId147" location="tag/service_model" xr:uid="{00000000-0004-0000-0000-0000BF000000}"/>
    <hyperlink ref="M698" r:id="rId148" location="tag/person_model" xr:uid="{00000000-0004-0000-0000-0000C0000000}"/>
    <hyperlink ref="M699" r:id="rId149" location="tag/person_model" xr:uid="{00000000-0004-0000-0000-0000C1000000}"/>
    <hyperlink ref="M700" r:id="rId150" location="tag/person_model" xr:uid="{00000000-0004-0000-0000-0000C2000000}"/>
    <hyperlink ref="M701" r:id="rId151" location="tag/person_model" xr:uid="{00000000-0004-0000-0000-0000C3000000}"/>
    <hyperlink ref="M702" r:id="rId152" location="tag/person_model" xr:uid="{00000000-0004-0000-0000-0000C4000000}"/>
    <hyperlink ref="M703" r:id="rId153" location="tag/group_model" xr:uid="{00000000-0004-0000-0000-0000C5000000}"/>
    <hyperlink ref="M704" r:id="rId154" location="tag/program_model" xr:uid="{00000000-0004-0000-0000-0000C6000000}"/>
    <hyperlink ref="M705" r:id="rId155" location="tag/organization_model" xr:uid="{00000000-0004-0000-0000-0000C7000000}"/>
    <hyperlink ref="M706" r:id="rId156" location="tag/organization_model" xr:uid="{00000000-0004-0000-0000-0000C8000000}"/>
    <hyperlink ref="M707" r:id="rId157" location="tag/person_model" xr:uid="{00000000-0004-0000-0000-0000C9000000}"/>
    <hyperlink ref="M709" r:id="rId158" location="tag/person_model" xr:uid="{00000000-0004-0000-0000-0000CA000000}"/>
    <hyperlink ref="M710" r:id="rId159" location="tag/person_model" xr:uid="{00000000-0004-0000-0000-0000CB000000}"/>
    <hyperlink ref="M711" r:id="rId160" location="tag/course_model; https://openonderwijsapi.nl/specification/v5/docs.html#tag/education_specification_model; https://openonderwijsapi.nl/specification/v5/docs.html#tag/person_model; https://openonderwijsapi.nl/specification/v5/docs.html#tag/program_model" xr:uid="{00000000-0004-0000-0000-0000CC000000}"/>
    <hyperlink ref="M712" r:id="rId161" location="tag/group_model; https://openonderwijsapi.nl/specification/v5/docs.html#tag/person_model" xr:uid="{00000000-0004-0000-0000-0000CD000000}"/>
    <hyperlink ref="M713" r:id="rId162" location="tag/person_model" xr:uid="{00000000-0004-0000-0000-0000CE000000}"/>
    <hyperlink ref="M714" r:id="rId163" location="tag/person_model" xr:uid="{00000000-0004-0000-0000-0000CF000000}"/>
    <hyperlink ref="M715" r:id="rId164" location="tag/person_model" xr:uid="{00000000-0004-0000-0000-0000D0000000}"/>
    <hyperlink ref="M273" r:id="rId165" location="tag/association_model" xr:uid="{00000000-0004-0000-0000-0000D1000000}"/>
    <hyperlink ref="M275" r:id="rId166" location="tag/course_model" xr:uid="{00000000-0004-0000-0000-0000D2000000}"/>
    <hyperlink ref="M276" r:id="rId167" location="tag/component_offering_model; https://openonderwijsapi.nl/specification/v5/docs.html#tag/course_model; https://openonderwijsapi.nl/specification/v5/docs.html#tag/course_offering_model; https://openonderwijsapi.nl/specification/v5/docs.html#tag/program_offering_model" xr:uid="{00000000-0004-0000-0000-0000D3000000}"/>
    <hyperlink ref="M277" r:id="rId168" location="tag/association_model; https://openonderwijsapi.nl/specification/v5/docs.html#tag/component_offering_model; https://openonderwijsapi.nl/specification/v5/docs.html#tag/course_model; https://openonderwijsapi.nl/specification/v5/docs.html#tag/course_offering_model; https://openonderwijsapi.nl/specification/v5/docs.html#tag/program_offering_model" xr:uid="{00000000-0004-0000-0000-0000D4000000}"/>
    <hyperlink ref="M279" r:id="rId169" location="tag/component_model" xr:uid="{00000000-0004-0000-0000-0000D5000000}"/>
    <hyperlink ref="M280" r:id="rId170" location="tag/component_model; https://openonderwijsapi.nl/specification/v5/docs.html#tag/component_offering_model; https://openonderwijsapi.nl/specification/v5/docs.html#tag/course_offering_model; https://openonderwijsapi.nl/specification/v5/docs.html#tag/program_offering_model" xr:uid="{00000000-0004-0000-0000-0000D6000000}"/>
    <hyperlink ref="M281" r:id="rId171" location="tag/association_model; https://openonderwijsapi.nl/specification/v5/docs.html#tag/component_model; https://openonderwijsapi.nl/specification/v5/docs.html#tag/component_offering_model; https://openonderwijsapi.nl/specification/v5/docs.html#tag/course_offering_model; https://openonderwijsapi.nl/specification/v5/docs.html#tag/program_offering_model" xr:uid="{00000000-0004-0000-0000-0000D7000000}"/>
    <hyperlink ref="M285" r:id="rId172" location="tag/program_model" xr:uid="{00000000-0004-0000-0000-0000D8000000}"/>
    <hyperlink ref="M286" r:id="rId173" location="tag/component_offering_model; https://openonderwijsapi.nl/specification/v5/docs.html#tag/course_offering_model; https://openonderwijsapi.nl/specification/v5/docs.html#tag/program_model; https://openonderwijsapi.nl/specification/v5/docs.html#tag/program_offering_model" xr:uid="{00000000-0004-0000-0000-0000D9000000}"/>
    <hyperlink ref="M287" r:id="rId174" location="tag/association_model; https://openonderwijsapi.nl/specification/v5/docs.html#tag/component_offering_model; https://openonderwijsapi.nl/specification/v5/docs.html#tag/course_offering_model; https://openonderwijsapi.nl/specification/v5/docs.html#tag/program_model; https://openonderwijsapi.nl/specification/v5/docs.html#tag/program_offering_model" xr:uid="{00000000-0004-0000-0000-0000DA000000}"/>
    <hyperlink ref="M288" r:id="rId175" location="tag/room_model" xr:uid="{00000000-0004-0000-0000-0000DB000000}"/>
    <hyperlink ref="M289" r:id="rId176" location="tag/component_model" xr:uid="{00000000-0004-0000-0000-0000DC000000}"/>
    <hyperlink ref="M290" r:id="rId177" location="tag/component_model; https://openonderwijsapi.nl/specification/v5/docs.html#tag/component_offering_model; https://openonderwijsapi.nl/specification/v5/docs.html#tag/course_offering_model; https://openonderwijsapi.nl/specification/v5/docs.html#tag/program_offering_model" xr:uid="{00000000-0004-0000-0000-0000DD000000}"/>
    <hyperlink ref="M291" r:id="rId178" location="tag/association_model; https://openonderwijsapi.nl/specification/v5/docs.html#tag/component_model; https://openonderwijsapi.nl/specification/v5/docs.html#tag/component_offering_model; https://openonderwijsapi.nl/specification/v5/docs.html#tag/course_offering_model; https://openonderwijsapi.nl/specification/v5/docs.html#tag/program_offering_model" xr:uid="{00000000-0004-0000-0000-0000DE000000}"/>
    <hyperlink ref="M730" r:id="rId179" location="tag/room_model" xr:uid="{00000000-0004-0000-0000-0000DF000000}"/>
    <hyperlink ref="M738" r:id="rId180" location="tag/component_offering_model; https://openonderwijsapi.nl/specification/v5/docs.html#tag/course_offering_model; https://openonderwijsapi.nl/specification/v5/docs.html#tag/program_offering_model" xr:uid="{00000000-0004-0000-0000-0000E0000000}"/>
    <hyperlink ref="M740" r:id="rId181" location="tag/program_model" xr:uid="{00000000-0004-0000-0000-0000E1000000}"/>
    <hyperlink ref="M743" r:id="rId182" location="tag/organization_model" xr:uid="{00000000-0004-0000-0000-0000E2000000}"/>
    <hyperlink ref="M748" r:id="rId183" location="tag/person_model" xr:uid="{00000000-0004-0000-0000-0000E3000000}"/>
    <hyperlink ref="M751" r:id="rId184" location="tag/room_model" xr:uid="{00000000-0004-0000-0000-0000E4000000}"/>
    <hyperlink ref="M752" r:id="rId185" location="tag/person_model" xr:uid="{00000000-0004-0000-0000-0000E5000000}"/>
    <hyperlink ref="M753" r:id="rId186" location="tag/person_model" xr:uid="{00000000-0004-0000-0000-0000E6000000}"/>
    <hyperlink ref="M249" r:id="rId187" location="tag/service_model" xr:uid="{8C91E212-53EE-4BA2-8455-87DB89734B49}"/>
    <hyperlink ref="M248" r:id="rId188" location="tag/service_model" xr:uid="{E62CADE7-2E95-41EE-891C-98D6FCD24870}"/>
    <hyperlink ref="M247" r:id="rId189" location="tag/service_model" xr:uid="{3E964240-1AC4-432D-A2BE-5988004E7266}"/>
    <hyperlink ref="M246" r:id="rId190" location="tag/service_model" xr:uid="{E44EF324-AB9B-4D1C-9962-1548B3CCEB5E}"/>
    <hyperlink ref="M245" r:id="rId191" location="tag/service_model" xr:uid="{AF192DAC-7664-4F2E-8A56-4749972EEACA}"/>
    <hyperlink ref="M252" r:id="rId192" location="tag/service_model" xr:uid="{84319065-6909-461B-8FE6-7271FFEDD516}"/>
    <hyperlink ref="M253" r:id="rId193" location="tag/service_model" xr:uid="{9BC57977-F744-4105-ACDD-B991BCDD7602}"/>
    <hyperlink ref="M254" r:id="rId194" location="tag/service_model" xr:uid="{992C8A0A-8CDE-476B-97E8-BA6432AFF277}"/>
    <hyperlink ref="M255" r:id="rId195" location="tag/service_model" xr:uid="{1F2DBB51-403D-4727-9E39-4992BAFDA11A}"/>
    <hyperlink ref="M256" r:id="rId196" location="tag/service_model" xr:uid="{F7168CC6-2DF9-49F6-91D9-84127C62C8B7}"/>
    <hyperlink ref="M257" r:id="rId197" location="tag/service_model" xr:uid="{30BD254A-87CF-42B0-8474-7807B361BB3D}"/>
    <hyperlink ref="M258" r:id="rId198" location="tag/service_model" xr:uid="{9465EDDB-205E-4562-A911-4779EB583CE1}"/>
    <hyperlink ref="M259" r:id="rId199" location="tag/service_model" xr:uid="{543711B2-20A1-46F1-819F-AA7A8C01433D}"/>
    <hyperlink ref="M260" r:id="rId200" location="tag/service_model" xr:uid="{E5C70424-5D22-4540-85E9-985A273BCA7C}"/>
    <hyperlink ref="M262" r:id="rId201" location="tag/service_model" xr:uid="{E9882DEA-94C9-46FE-BA57-5F1C02B5B3C4}"/>
    <hyperlink ref="M263" r:id="rId202" location="tag/service_model" xr:uid="{52A92766-B887-4259-A545-BFAD3AEA4280}"/>
    <hyperlink ref="M264" r:id="rId203" location="tag/service_model" xr:uid="{89C547E2-4174-4E6E-9C27-59D94B2BA260}"/>
    <hyperlink ref="M265" r:id="rId204" location="tag/service_model" xr:uid="{77DB9808-6E2B-4C43-96EA-47BCAECB0CFA}"/>
    <hyperlink ref="M266" r:id="rId205" location="tag/service_model" xr:uid="{43988812-EA49-411F-8669-C26162117FB7}"/>
    <hyperlink ref="M268" r:id="rId206" location="tag/service_model" xr:uid="{D3AAF2B3-3E8C-4EBB-A425-ECE6819E334D}"/>
    <hyperlink ref="M238" r:id="rId207" location="tag/service_model" xr:uid="{2E12E819-0B16-4126-B19E-E30671919214}"/>
    <hyperlink ref="M237" r:id="rId208" location="tag/service_model" xr:uid="{EA20EDC2-2119-4599-8D03-B312945BDC5A}"/>
    <hyperlink ref="M236" r:id="rId209" location="tag/service_model" xr:uid="{ACA68C0E-A6D4-445E-B3A2-45F84F61F8DC}"/>
    <hyperlink ref="M235" r:id="rId210" location="tag/person_model; https://openonderwijsapi.nl/specification/v5/docs.html#tag/service_model" xr:uid="{00000000-0004-0000-0000-0000B3000000}"/>
    <hyperlink ref="M326" r:id="rId211" location="tag/room_model" xr:uid="{1D574B16-0441-4EBE-8E0F-1674F10E8E89}"/>
    <hyperlink ref="M332" r:id="rId212" location="tag/building_model" xr:uid="{3FA577AE-013B-4A56-8360-A1866E1AED62}"/>
    <hyperlink ref="M331" r:id="rId213" location="tag/organization_model" xr:uid="{6C9FAA0F-C30D-49DF-B5B4-95D690256F0C}"/>
    <hyperlink ref="M344" r:id="rId214" location="tag/component_offering_model" xr:uid="{8D148E6C-63F9-48A3-8F9A-34CB13FCEFC1}"/>
    <hyperlink ref="M346" r:id="rId215" location="tag/component_model" xr:uid="{DC914B3F-A55C-4ED2-8549-F9A15FC904C0}"/>
    <hyperlink ref="M351" r:id="rId216" location="tag/component_model" xr:uid="{6C99B490-B053-4976-BDF2-359D68E60390}"/>
    <hyperlink ref="M323" r:id="rId217" location="tag/component_model" xr:uid="{5277E352-9550-4C95-A3DB-CD7397BA9EE4}"/>
    <hyperlink ref="M300" r:id="rId218" location="tag/offerings" display="https://openonderwijsapi.nl/specification/v5/docs.html#tag/offerings" xr:uid="{00000000-0004-0000-0000-000002000000}"/>
    <hyperlink ref="M301" r:id="rId219" location="tag/offerings" display="https://openonderwijsapi.nl/specification/v5/docs.html#tag/offerings" xr:uid="{21EB3FAE-11DC-4512-A9B7-1EB46937E715}"/>
    <hyperlink ref="M319" r:id="rId220" location="tag/program_model" xr:uid="{CF75E8CC-67C9-4149-BA47-7CCE7980D4F0}"/>
    <hyperlink ref="M302" r:id="rId221" location="tag/component_model" xr:uid="{F3736BD6-EA39-4376-A958-60163D13B6F1}"/>
    <hyperlink ref="M357" r:id="rId222" location="tag/program_model" display="https://openonderwijsapi.nl/specification/v5/docs.html#tag/program_model" xr:uid="{79E06E61-496E-4D43-81B2-C463B2C90CDD}"/>
    <hyperlink ref="M358" r:id="rId223" location="tag/course_offering_model;" xr:uid="{BD667E00-E1B0-498E-8410-32E667CE2630}"/>
    <hyperlink ref="M304" r:id="rId224" location="tag/course_model;" xr:uid="{27C3EB8B-3A89-4245-8A90-2436C23553D8}"/>
    <hyperlink ref="M356" r:id="rId225" location="tag/offerings" display="https://openonderwijsapi.nl/specification/v5/docs.html#tag/offerings" xr:uid="{CD783FBB-21A7-4668-B508-6214B3B86340}"/>
    <hyperlink ref="M311" r:id="rId226" location="/technical/consumers-and-profiles/rio?id=formaldocument-waardedocumentsoort" xr:uid="{49716256-3E97-49F3-A617-14CB93952387}"/>
    <hyperlink ref="M361" r:id="rId227" location="/technical/consumers-and-profiles/rio?id=formaldocument-waardedocumentsoort" xr:uid="{8EF3D3B0-97A6-4866-8408-ACD647727E1C}"/>
    <hyperlink ref="M308" r:id="rId228" location="tag/program_model" xr:uid="{3108CEC5-5525-45F4-B3DB-7866FBB9B6AB}"/>
    <hyperlink ref="M309" r:id="rId229" location="tag/program_model" xr:uid="{9BEC23CB-971D-49F3-9C11-5740EFAB2878}"/>
    <hyperlink ref="M314" r:id="rId230" location="tag/association_model" xr:uid="{99EF364B-0890-413E-BCD4-720A0A21987E}"/>
    <hyperlink ref="M315" r:id="rId231" location="tag/course_model" xr:uid="{999B7303-8434-428B-805A-011EF1E6EFA6}"/>
    <hyperlink ref="M378" r:id="rId232" location="/technical/consumers-and-profiles/rio?id=formaldocument-waardedocumentsoort" xr:uid="{EEEC4DDF-3CB5-48C9-A7B3-B691DDFAA8C5}"/>
    <hyperlink ref="M365" r:id="rId233" location="tag/component_model" xr:uid="{D07113D8-08F4-4D24-A98A-9287569CC982}"/>
    <hyperlink ref="M317" r:id="rId234" location="/technical/consumers-and-profiles/rio?id=formaldocument-waardedocumentsoort_x000a_" display="https://openonderwijsapi.nl/#/technical/consumers-and-profiles/rio?id=formaldocument-waardedocumentsoort_x000a_" xr:uid="{D064369A-1721-4AA1-A572-7D3C75D1145B}"/>
    <hyperlink ref="M343" r:id="rId235" location="tag/component_offering_model" display="https://openonderwijsapi.nl/specification/v5/docs.html#tag/component_offering_model" xr:uid="{139B9582-BD22-47B0-B13F-4B3C7F05DD65}"/>
  </hyperlinks>
  <pageMargins left="0.7" right="0.7" top="0.75" bottom="0.75" header="0.3" footer="0.3"/>
  <pageSetup paperSize="9" orientation="portrait" horizontalDpi="4294967293" r:id="rId236"/>
  <tableParts count="1">
    <tablePart r:id="rId237"/>
  </tableParts>
  <extLst>
    <ext xmlns:x14="http://schemas.microsoft.com/office/spreadsheetml/2009/9/main" uri="{CCE6A557-97BC-4b89-ADB6-D9C93CAAB3DF}">
      <x14:dataValidations xmlns:xm="http://schemas.microsoft.com/office/excel/2006/main" count="2">
        <x14:dataValidation type="list" allowBlank="1" showInputMessage="1" showErrorMessage="1" xr:uid="{4E708103-350C-4B13-9D8C-7DCD6C534C46}">
          <x14:formula1>
            <xm:f>Lookup!$E$2:$E$47</xm:f>
          </x14:formula1>
          <xm:sqref>F7:F270 F272:F754</xm:sqref>
        </x14:dataValidation>
        <x14:dataValidation type="list" allowBlank="1" showInputMessage="1" showErrorMessage="1" xr:uid="{EE9ED810-2AD6-4D80-B131-A588CD89A9A5}">
          <x14:formula1>
            <xm:f>Lookup!$B$2:$B$15</xm:f>
          </x14:formula1>
          <xm:sqref>G7:G754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B6B0-DFBB-40DD-9A6A-740DA7A6D475}">
  <dimension ref="A1:B25"/>
  <sheetViews>
    <sheetView tabSelected="1" topLeftCell="A24" workbookViewId="0">
      <selection activeCell="A22" sqref="A22"/>
    </sheetView>
  </sheetViews>
  <sheetFormatPr defaultRowHeight="14.25" x14ac:dyDescent="0.45"/>
  <cols>
    <col min="1" max="1" width="35.46484375" customWidth="1"/>
    <col min="2" max="2" width="255.53125" customWidth="1"/>
  </cols>
  <sheetData>
    <row r="1" spans="1:2" x14ac:dyDescent="0.45">
      <c r="A1" t="s">
        <v>1716</v>
      </c>
      <c r="B1" t="s">
        <v>13</v>
      </c>
    </row>
    <row r="2" spans="1:2" x14ac:dyDescent="0.45">
      <c r="A2" s="51" t="s">
        <v>917</v>
      </c>
      <c r="B2" s="1" t="s">
        <v>1723</v>
      </c>
    </row>
    <row r="3" spans="1:2" x14ac:dyDescent="0.45">
      <c r="A3" t="s">
        <v>608</v>
      </c>
      <c r="B3" s="1" t="s">
        <v>1719</v>
      </c>
    </row>
    <row r="4" spans="1:2" x14ac:dyDescent="0.45">
      <c r="A4" t="s">
        <v>961</v>
      </c>
      <c r="B4" s="1" t="s">
        <v>1717</v>
      </c>
    </row>
    <row r="5" spans="1:2" x14ac:dyDescent="0.45">
      <c r="A5" t="s">
        <v>631</v>
      </c>
      <c r="B5" s="1" t="s">
        <v>1718</v>
      </c>
    </row>
    <row r="6" spans="1:2" x14ac:dyDescent="0.45">
      <c r="A6" s="53"/>
      <c r="B6" s="54"/>
    </row>
    <row r="7" spans="1:2" x14ac:dyDescent="0.45">
      <c r="A7" t="s">
        <v>1713</v>
      </c>
      <c r="B7" s="1" t="s">
        <v>1725</v>
      </c>
    </row>
    <row r="8" spans="1:2" x14ac:dyDescent="0.45">
      <c r="A8" t="s">
        <v>84</v>
      </c>
      <c r="B8" s="1" t="s">
        <v>1725</v>
      </c>
    </row>
    <row r="9" spans="1:2" x14ac:dyDescent="0.45">
      <c r="A9" t="s">
        <v>618</v>
      </c>
      <c r="B9" s="1" t="s">
        <v>1725</v>
      </c>
    </row>
    <row r="10" spans="1:2" x14ac:dyDescent="0.45">
      <c r="A10" t="s">
        <v>633</v>
      </c>
      <c r="B10" s="1" t="s">
        <v>1725</v>
      </c>
    </row>
    <row r="11" spans="1:2" x14ac:dyDescent="0.45">
      <c r="A11" s="53"/>
      <c r="B11" s="54"/>
    </row>
    <row r="12" spans="1:2" x14ac:dyDescent="0.45">
      <c r="A12" t="s">
        <v>1714</v>
      </c>
      <c r="B12" s="1" t="s">
        <v>1720</v>
      </c>
    </row>
    <row r="13" spans="1:2" x14ac:dyDescent="0.45">
      <c r="A13" t="s">
        <v>1715</v>
      </c>
      <c r="B13" s="1" t="s">
        <v>1720</v>
      </c>
    </row>
    <row r="14" spans="1:2" x14ac:dyDescent="0.45">
      <c r="A14" t="s">
        <v>621</v>
      </c>
      <c r="B14" s="1" t="s">
        <v>1727</v>
      </c>
    </row>
    <row r="15" spans="1:2" x14ac:dyDescent="0.45">
      <c r="A15" t="s">
        <v>635</v>
      </c>
      <c r="B15" s="52" t="s">
        <v>1721</v>
      </c>
    </row>
    <row r="17" spans="1:2" x14ac:dyDescent="0.45">
      <c r="A17" s="79" t="s">
        <v>1748</v>
      </c>
      <c r="B17" t="s">
        <v>1722</v>
      </c>
    </row>
    <row r="18" spans="1:2" ht="28.5" x14ac:dyDescent="0.45">
      <c r="B18" s="1" t="s">
        <v>1726</v>
      </c>
    </row>
    <row r="19" spans="1:2" x14ac:dyDescent="0.45">
      <c r="B19" t="s">
        <v>1728</v>
      </c>
    </row>
    <row r="20" spans="1:2" x14ac:dyDescent="0.45">
      <c r="B20" t="s">
        <v>1724</v>
      </c>
    </row>
    <row r="22" spans="1:2" x14ac:dyDescent="0.45">
      <c r="B22" t="s">
        <v>1730</v>
      </c>
    </row>
    <row r="24" spans="1:2" x14ac:dyDescent="0.45">
      <c r="B24" t="s">
        <v>1729</v>
      </c>
    </row>
    <row r="25" spans="1:2" x14ac:dyDescent="0.45">
      <c r="B25" t="s">
        <v>1749</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1BFE2-9EEB-48C2-A132-0FC77D40D44E}">
  <dimension ref="A1:G12"/>
  <sheetViews>
    <sheetView workbookViewId="0">
      <selection activeCell="G7" sqref="G7"/>
    </sheetView>
  </sheetViews>
  <sheetFormatPr defaultRowHeight="14.25" x14ac:dyDescent="0.45"/>
  <cols>
    <col min="2" max="2" width="19.86328125" customWidth="1"/>
    <col min="3" max="3" width="60.46484375" bestFit="1" customWidth="1"/>
    <col min="4" max="4" width="24.46484375" customWidth="1"/>
    <col min="5" max="5" width="39.46484375" customWidth="1"/>
  </cols>
  <sheetData>
    <row r="1" spans="1:7" ht="14.65" thickBot="1" x14ac:dyDescent="0.5">
      <c r="A1" s="69"/>
      <c r="B1" s="69"/>
      <c r="C1" s="69"/>
      <c r="D1" s="69"/>
      <c r="E1" s="69"/>
      <c r="F1" s="69"/>
      <c r="G1" s="69"/>
    </row>
    <row r="2" spans="1:7" ht="14.65" thickBot="1" x14ac:dyDescent="0.5">
      <c r="A2" s="69"/>
      <c r="B2" s="59" t="s">
        <v>1735</v>
      </c>
      <c r="C2" s="60" t="s">
        <v>1732</v>
      </c>
      <c r="D2" s="60" t="s">
        <v>1731</v>
      </c>
      <c r="E2" s="60" t="s">
        <v>1737</v>
      </c>
      <c r="F2" s="69"/>
      <c r="G2" s="69"/>
    </row>
    <row r="3" spans="1:7" ht="69" customHeight="1" thickBot="1" x14ac:dyDescent="0.5">
      <c r="A3" s="69"/>
      <c r="B3" s="63" t="s">
        <v>917</v>
      </c>
      <c r="C3" s="57" t="s">
        <v>1746</v>
      </c>
      <c r="D3" s="75" t="s">
        <v>1741</v>
      </c>
      <c r="E3" s="77" t="s">
        <v>1736</v>
      </c>
      <c r="F3" s="69"/>
      <c r="G3" s="69"/>
    </row>
    <row r="4" spans="1:7" ht="69" customHeight="1" thickBot="1" x14ac:dyDescent="0.5">
      <c r="A4" s="69"/>
      <c r="B4" s="64" t="s">
        <v>608</v>
      </c>
      <c r="C4" s="55" t="s">
        <v>1745</v>
      </c>
      <c r="D4" s="75"/>
      <c r="E4" s="78"/>
      <c r="F4" s="69"/>
      <c r="G4" s="69"/>
    </row>
    <row r="5" spans="1:7" ht="52.8" customHeight="1" thickBot="1" x14ac:dyDescent="0.5">
      <c r="A5" s="69"/>
      <c r="B5" s="65" t="s">
        <v>961</v>
      </c>
      <c r="C5" s="58" t="s">
        <v>1744</v>
      </c>
      <c r="D5" s="75"/>
      <c r="E5" s="55" t="s">
        <v>1739</v>
      </c>
      <c r="F5" s="69"/>
      <c r="G5" s="69"/>
    </row>
    <row r="6" spans="1:7" ht="57.4" thickBot="1" x14ac:dyDescent="0.5">
      <c r="A6" s="69"/>
      <c r="B6" s="66" t="s">
        <v>631</v>
      </c>
      <c r="C6" s="56" t="s">
        <v>1743</v>
      </c>
      <c r="D6" s="76"/>
      <c r="E6" s="56" t="s">
        <v>1738</v>
      </c>
      <c r="F6" s="69"/>
      <c r="G6" s="69"/>
    </row>
    <row r="7" spans="1:7" ht="57.4" thickBot="1" x14ac:dyDescent="0.5">
      <c r="A7" s="69"/>
      <c r="B7" s="70" t="s">
        <v>1733</v>
      </c>
      <c r="C7" s="71" t="s">
        <v>1740</v>
      </c>
      <c r="D7" s="69"/>
      <c r="E7" s="69"/>
      <c r="F7" s="69"/>
      <c r="G7" s="69"/>
    </row>
    <row r="8" spans="1:7" ht="38.450000000000003" customHeight="1" thickBot="1" x14ac:dyDescent="0.5">
      <c r="A8" s="69"/>
      <c r="B8" s="67" t="s">
        <v>1734</v>
      </c>
      <c r="C8" s="61" t="s">
        <v>1742</v>
      </c>
      <c r="D8" s="69"/>
      <c r="E8" s="69"/>
      <c r="F8" s="69"/>
      <c r="G8" s="69"/>
    </row>
    <row r="9" spans="1:7" ht="46.8" customHeight="1" thickBot="1" x14ac:dyDescent="0.5">
      <c r="A9" s="69"/>
      <c r="B9" s="68" t="s">
        <v>107</v>
      </c>
      <c r="C9" s="62" t="s">
        <v>1747</v>
      </c>
      <c r="D9" s="69"/>
      <c r="E9" s="69"/>
      <c r="F9" s="69"/>
      <c r="G9" s="69"/>
    </row>
    <row r="10" spans="1:7" x14ac:dyDescent="0.45">
      <c r="A10" s="69"/>
      <c r="B10" s="69"/>
      <c r="C10" s="69"/>
      <c r="D10" s="69"/>
      <c r="E10" s="69"/>
      <c r="F10" s="69"/>
      <c r="G10" s="69"/>
    </row>
    <row r="11" spans="1:7" ht="84.6" customHeight="1" x14ac:dyDescent="0.45">
      <c r="A11" s="69"/>
      <c r="B11" s="69"/>
      <c r="C11" s="69"/>
      <c r="D11" s="69"/>
      <c r="E11" s="69"/>
      <c r="F11" s="69"/>
      <c r="G11" s="69"/>
    </row>
    <row r="12" spans="1:7" x14ac:dyDescent="0.45">
      <c r="A12" s="69"/>
      <c r="B12" s="69"/>
      <c r="C12" s="69"/>
      <c r="D12" s="69"/>
    </row>
  </sheetData>
  <mergeCells count="2">
    <mergeCell ref="D3:D6"/>
    <mergeCell ref="E3: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239D-67A0-472E-8CF0-E7D9334065C3}">
  <dimension ref="A1:M47"/>
  <sheetViews>
    <sheetView topLeftCell="A30" workbookViewId="0">
      <selection activeCell="B26" sqref="B25:B26"/>
    </sheetView>
  </sheetViews>
  <sheetFormatPr defaultColWidth="8.86328125" defaultRowHeight="14.25" x14ac:dyDescent="0.45"/>
  <cols>
    <col min="1" max="1" width="4.86328125" style="17" bestFit="1" customWidth="1"/>
    <col min="2" max="2" width="48.86328125" style="17" customWidth="1"/>
    <col min="3" max="3" width="8.86328125" style="17"/>
    <col min="4" max="4" width="4.86328125" style="17" bestFit="1" customWidth="1"/>
    <col min="5" max="5" width="58.1328125" style="17" customWidth="1"/>
    <col min="6" max="6" width="9" style="18" customWidth="1"/>
    <col min="7" max="7" width="4.86328125" style="17" bestFit="1" customWidth="1"/>
    <col min="8" max="8" width="13.19921875" style="17" customWidth="1"/>
    <col min="9" max="9" width="22.1328125" style="17" customWidth="1"/>
    <col min="10" max="10" width="8.86328125" style="17"/>
    <col min="11" max="11" width="4.86328125" style="17" bestFit="1" customWidth="1"/>
    <col min="12" max="12" width="25.19921875" style="17" customWidth="1"/>
    <col min="13" max="13" width="72" style="17" customWidth="1"/>
    <col min="14" max="16384" width="8.86328125" style="17"/>
  </cols>
  <sheetData>
    <row r="1" spans="1:13" ht="18" x14ac:dyDescent="0.45">
      <c r="A1" s="19" t="s">
        <v>1692</v>
      </c>
      <c r="B1" s="19" t="s">
        <v>1693</v>
      </c>
      <c r="D1" s="19" t="s">
        <v>1692</v>
      </c>
      <c r="E1" s="20" t="s">
        <v>1694</v>
      </c>
      <c r="F1" s="17"/>
      <c r="G1" s="19" t="s">
        <v>1692</v>
      </c>
      <c r="H1" s="19" t="s">
        <v>1695</v>
      </c>
      <c r="I1" s="19" t="s">
        <v>1696</v>
      </c>
      <c r="K1" s="19" t="s">
        <v>1692</v>
      </c>
      <c r="L1" s="19" t="s">
        <v>1697</v>
      </c>
      <c r="M1" s="19" t="s">
        <v>1698</v>
      </c>
    </row>
    <row r="2" spans="1:13" x14ac:dyDescent="0.45">
      <c r="A2" s="17">
        <v>1</v>
      </c>
      <c r="B2" s="18" t="s">
        <v>656</v>
      </c>
      <c r="D2" s="17">
        <v>1</v>
      </c>
      <c r="E2" s="18" t="s">
        <v>655</v>
      </c>
      <c r="F2" s="17"/>
      <c r="G2" s="17">
        <v>1</v>
      </c>
      <c r="H2" s="17">
        <v>1</v>
      </c>
      <c r="I2" s="17">
        <v>1</v>
      </c>
      <c r="K2" s="17">
        <v>1</v>
      </c>
      <c r="L2" s="17" t="s">
        <v>1699</v>
      </c>
      <c r="M2" s="18" t="s">
        <v>1700</v>
      </c>
    </row>
    <row r="3" spans="1:13" x14ac:dyDescent="0.45">
      <c r="A3" s="17">
        <v>2</v>
      </c>
      <c r="B3" s="18" t="s">
        <v>1055</v>
      </c>
      <c r="D3" s="17">
        <v>2</v>
      </c>
      <c r="E3" s="18" t="s">
        <v>1309</v>
      </c>
      <c r="F3" s="17"/>
      <c r="G3" s="17">
        <v>2</v>
      </c>
      <c r="H3" s="17">
        <v>1</v>
      </c>
      <c r="I3" s="17">
        <v>2</v>
      </c>
      <c r="K3" s="17">
        <v>2</v>
      </c>
      <c r="L3" s="17" t="s">
        <v>1701</v>
      </c>
      <c r="M3" s="18" t="s">
        <v>1702</v>
      </c>
    </row>
    <row r="4" spans="1:13" x14ac:dyDescent="0.45">
      <c r="A4" s="17">
        <v>3</v>
      </c>
      <c r="B4" s="18" t="s">
        <v>1703</v>
      </c>
      <c r="D4" s="17">
        <v>3</v>
      </c>
      <c r="E4" s="18" t="s">
        <v>1019</v>
      </c>
      <c r="F4" s="17"/>
      <c r="G4" s="17">
        <v>3</v>
      </c>
      <c r="H4" s="17">
        <v>1</v>
      </c>
      <c r="I4" s="17">
        <v>3</v>
      </c>
      <c r="K4" s="17">
        <v>3</v>
      </c>
      <c r="L4" s="17" t="s">
        <v>1704</v>
      </c>
      <c r="M4" s="18" t="s">
        <v>1705</v>
      </c>
    </row>
    <row r="5" spans="1:13" x14ac:dyDescent="0.45">
      <c r="A5" s="17">
        <v>4</v>
      </c>
      <c r="B5" s="18" t="s">
        <v>1077</v>
      </c>
      <c r="D5" s="17">
        <v>4</v>
      </c>
      <c r="E5" s="18" t="s">
        <v>1269</v>
      </c>
      <c r="F5" s="17"/>
      <c r="G5" s="17">
        <v>4</v>
      </c>
      <c r="H5" s="17">
        <v>1</v>
      </c>
      <c r="I5" s="17">
        <v>4</v>
      </c>
      <c r="K5" s="17">
        <v>4</v>
      </c>
      <c r="L5" s="17" t="s">
        <v>1706</v>
      </c>
      <c r="M5" s="18" t="s">
        <v>1707</v>
      </c>
    </row>
    <row r="6" spans="1:13" x14ac:dyDescent="0.45">
      <c r="A6" s="17">
        <v>5</v>
      </c>
      <c r="B6" s="18" t="s">
        <v>1379</v>
      </c>
      <c r="D6" s="17">
        <v>5</v>
      </c>
      <c r="E6" s="18" t="s">
        <v>1076</v>
      </c>
      <c r="F6" s="17"/>
      <c r="G6" s="17">
        <v>5</v>
      </c>
      <c r="H6" s="17">
        <v>4</v>
      </c>
      <c r="I6" s="17">
        <v>5</v>
      </c>
      <c r="K6" s="17">
        <v>5</v>
      </c>
      <c r="L6" s="17" t="s">
        <v>1708</v>
      </c>
      <c r="M6" s="18" t="s">
        <v>1709</v>
      </c>
    </row>
    <row r="7" spans="1:13" x14ac:dyDescent="0.45">
      <c r="A7" s="17">
        <v>6</v>
      </c>
      <c r="B7" s="18" t="s">
        <v>1081</v>
      </c>
      <c r="D7" s="17">
        <v>6</v>
      </c>
      <c r="E7" s="18" t="s">
        <v>1434</v>
      </c>
      <c r="F7" s="17"/>
      <c r="G7" s="17">
        <v>6</v>
      </c>
      <c r="H7" s="17">
        <v>4</v>
      </c>
      <c r="I7" s="17">
        <v>6</v>
      </c>
      <c r="K7" s="17">
        <v>6</v>
      </c>
      <c r="L7" s="17" t="s">
        <v>1710</v>
      </c>
      <c r="M7" s="18" t="s">
        <v>1711</v>
      </c>
    </row>
    <row r="8" spans="1:13" x14ac:dyDescent="0.45">
      <c r="A8" s="17">
        <v>7</v>
      </c>
      <c r="B8" s="18" t="s">
        <v>1066</v>
      </c>
      <c r="D8" s="17">
        <v>7</v>
      </c>
      <c r="E8" s="18" t="s">
        <v>1341</v>
      </c>
      <c r="F8" s="17"/>
      <c r="G8" s="17">
        <v>7</v>
      </c>
      <c r="H8" s="17">
        <v>4</v>
      </c>
      <c r="I8" s="17">
        <v>7</v>
      </c>
      <c r="M8" s="18"/>
    </row>
    <row r="9" spans="1:13" x14ac:dyDescent="0.45">
      <c r="A9" s="17">
        <v>8</v>
      </c>
      <c r="B9" s="18" t="s">
        <v>1060</v>
      </c>
      <c r="D9" s="17">
        <v>8</v>
      </c>
      <c r="E9" s="18" t="s">
        <v>1593</v>
      </c>
      <c r="F9" s="17"/>
      <c r="G9" s="17">
        <v>8</v>
      </c>
      <c r="H9" s="17">
        <v>3</v>
      </c>
      <c r="I9" s="17">
        <v>8</v>
      </c>
    </row>
    <row r="10" spans="1:13" x14ac:dyDescent="0.45">
      <c r="A10" s="17">
        <v>9</v>
      </c>
      <c r="B10" s="18" t="s">
        <v>1024</v>
      </c>
      <c r="D10" s="17">
        <v>9</v>
      </c>
      <c r="E10" s="18" t="s">
        <v>1459</v>
      </c>
      <c r="F10" s="17"/>
      <c r="G10" s="17">
        <v>9</v>
      </c>
      <c r="H10" s="17">
        <v>3</v>
      </c>
      <c r="I10" s="17">
        <v>9</v>
      </c>
    </row>
    <row r="11" spans="1:13" x14ac:dyDescent="0.45">
      <c r="A11" s="17">
        <v>10</v>
      </c>
      <c r="B11" s="18" t="s">
        <v>1034</v>
      </c>
      <c r="D11" s="17">
        <v>10</v>
      </c>
      <c r="E11" s="18" t="s">
        <v>1235</v>
      </c>
      <c r="F11" s="17"/>
      <c r="G11" s="17">
        <v>10</v>
      </c>
      <c r="H11" s="17">
        <v>3</v>
      </c>
      <c r="I11" s="17">
        <v>10</v>
      </c>
    </row>
    <row r="12" spans="1:13" x14ac:dyDescent="0.45">
      <c r="A12" s="17">
        <v>11</v>
      </c>
      <c r="B12" s="18" t="s">
        <v>1013</v>
      </c>
      <c r="D12" s="17">
        <v>11</v>
      </c>
      <c r="E12" s="18" t="s">
        <v>1712</v>
      </c>
      <c r="F12" s="17"/>
      <c r="G12" s="17">
        <v>11</v>
      </c>
      <c r="H12" s="17">
        <v>3</v>
      </c>
      <c r="I12" s="17">
        <v>11</v>
      </c>
    </row>
    <row r="13" spans="1:13" x14ac:dyDescent="0.45">
      <c r="A13" s="17">
        <v>12</v>
      </c>
      <c r="B13" s="18" t="s">
        <v>567</v>
      </c>
      <c r="D13" s="17">
        <v>12</v>
      </c>
      <c r="E13" s="17" t="s">
        <v>1394</v>
      </c>
      <c r="F13" s="17"/>
      <c r="G13" s="17">
        <v>12</v>
      </c>
      <c r="H13" s="17">
        <v>5</v>
      </c>
      <c r="I13" s="17">
        <v>12</v>
      </c>
    </row>
    <row r="14" spans="1:13" x14ac:dyDescent="0.45">
      <c r="A14" s="17">
        <v>13</v>
      </c>
      <c r="B14" s="18" t="s">
        <v>1357</v>
      </c>
      <c r="D14" s="17">
        <v>13</v>
      </c>
      <c r="E14" s="18" t="s">
        <v>1518</v>
      </c>
      <c r="F14" s="17"/>
      <c r="G14" s="17">
        <v>13</v>
      </c>
      <c r="H14" s="17">
        <v>5</v>
      </c>
      <c r="I14" s="17">
        <v>13</v>
      </c>
    </row>
    <row r="15" spans="1:13" x14ac:dyDescent="0.45">
      <c r="A15" s="17">
        <v>14</v>
      </c>
      <c r="B15" s="18"/>
      <c r="D15" s="17">
        <v>14</v>
      </c>
      <c r="E15" s="18" t="s">
        <v>1378</v>
      </c>
      <c r="F15" s="17"/>
      <c r="G15" s="17">
        <v>14</v>
      </c>
      <c r="H15" s="17">
        <v>5</v>
      </c>
      <c r="I15" s="17">
        <v>14</v>
      </c>
    </row>
    <row r="16" spans="1:13" x14ac:dyDescent="0.45">
      <c r="D16" s="17">
        <v>15</v>
      </c>
      <c r="E16" s="18" t="s">
        <v>1488</v>
      </c>
      <c r="F16" s="17"/>
      <c r="G16" s="17">
        <v>15</v>
      </c>
      <c r="H16" s="17">
        <v>6</v>
      </c>
      <c r="I16" s="17">
        <v>15</v>
      </c>
    </row>
    <row r="17" spans="4:9" x14ac:dyDescent="0.45">
      <c r="D17" s="17">
        <v>16</v>
      </c>
      <c r="E17" s="18" t="s">
        <v>1080</v>
      </c>
      <c r="F17" s="17"/>
      <c r="G17" s="17">
        <v>16</v>
      </c>
      <c r="H17" s="17">
        <v>6</v>
      </c>
      <c r="I17" s="17">
        <v>16</v>
      </c>
    </row>
    <row r="18" spans="4:9" x14ac:dyDescent="0.45">
      <c r="D18" s="17">
        <v>17</v>
      </c>
      <c r="E18" s="18" t="s">
        <v>1449</v>
      </c>
      <c r="F18" s="17"/>
      <c r="G18" s="17">
        <v>17</v>
      </c>
      <c r="H18" s="17">
        <v>6</v>
      </c>
      <c r="I18" s="17">
        <v>17</v>
      </c>
    </row>
    <row r="19" spans="4:9" x14ac:dyDescent="0.45">
      <c r="D19" s="17">
        <v>18</v>
      </c>
      <c r="E19" s="18" t="s">
        <v>1069</v>
      </c>
      <c r="F19" s="17"/>
      <c r="G19" s="17">
        <v>18</v>
      </c>
      <c r="H19" s="17">
        <v>7</v>
      </c>
      <c r="I19" s="17">
        <v>18</v>
      </c>
    </row>
    <row r="20" spans="4:9" x14ac:dyDescent="0.45">
      <c r="D20" s="17">
        <v>19</v>
      </c>
      <c r="E20" s="18" t="s">
        <v>1065</v>
      </c>
      <c r="F20" s="17"/>
      <c r="G20" s="17">
        <v>19</v>
      </c>
      <c r="H20" s="17">
        <v>7</v>
      </c>
      <c r="I20" s="17">
        <v>19</v>
      </c>
    </row>
    <row r="21" spans="4:9" x14ac:dyDescent="0.45">
      <c r="D21" s="17">
        <v>20</v>
      </c>
      <c r="E21" s="18" t="s">
        <v>1188</v>
      </c>
      <c r="F21" s="17"/>
      <c r="G21" s="17">
        <v>20</v>
      </c>
      <c r="H21" s="17">
        <v>7</v>
      </c>
      <c r="I21" s="17">
        <v>20</v>
      </c>
    </row>
    <row r="22" spans="4:9" x14ac:dyDescent="0.45">
      <c r="D22" s="17">
        <v>21</v>
      </c>
      <c r="E22" s="18" t="s">
        <v>1183</v>
      </c>
      <c r="F22" s="17"/>
      <c r="G22" s="17">
        <v>21</v>
      </c>
      <c r="H22" s="17">
        <v>7</v>
      </c>
      <c r="I22" s="17">
        <v>21</v>
      </c>
    </row>
    <row r="23" spans="4:9" x14ac:dyDescent="0.45">
      <c r="D23" s="17">
        <v>22</v>
      </c>
      <c r="E23" s="18" t="s">
        <v>1239</v>
      </c>
      <c r="F23" s="17"/>
      <c r="G23" s="17">
        <v>22</v>
      </c>
      <c r="H23" s="17">
        <v>8</v>
      </c>
      <c r="I23" s="17">
        <v>22</v>
      </c>
    </row>
    <row r="24" spans="4:9" x14ac:dyDescent="0.45">
      <c r="D24" s="17">
        <v>23</v>
      </c>
      <c r="E24" s="18" t="s">
        <v>1282</v>
      </c>
      <c r="F24" s="17"/>
      <c r="G24" s="17">
        <v>23</v>
      </c>
      <c r="H24" s="17">
        <v>8</v>
      </c>
      <c r="I24" s="17">
        <v>23</v>
      </c>
    </row>
    <row r="25" spans="4:9" x14ac:dyDescent="0.45">
      <c r="D25" s="17">
        <v>24</v>
      </c>
      <c r="E25" s="18" t="s">
        <v>1059</v>
      </c>
      <c r="F25" s="17"/>
      <c r="G25" s="17">
        <v>24</v>
      </c>
      <c r="H25" s="17">
        <v>8</v>
      </c>
      <c r="I25" s="17">
        <v>24</v>
      </c>
    </row>
    <row r="26" spans="4:9" x14ac:dyDescent="0.45">
      <c r="D26" s="17">
        <v>25</v>
      </c>
      <c r="E26" s="18" t="s">
        <v>1023</v>
      </c>
      <c r="F26" s="17"/>
      <c r="G26" s="17">
        <v>25</v>
      </c>
      <c r="H26" s="17">
        <v>9</v>
      </c>
      <c r="I26" s="17">
        <v>25</v>
      </c>
    </row>
    <row r="27" spans="4:9" x14ac:dyDescent="0.45">
      <c r="D27" s="17">
        <v>26</v>
      </c>
      <c r="E27" s="18" t="s">
        <v>1040</v>
      </c>
      <c r="F27" s="17"/>
      <c r="G27" s="17">
        <v>26</v>
      </c>
      <c r="H27" s="17">
        <v>9</v>
      </c>
      <c r="I27" s="17">
        <v>26</v>
      </c>
    </row>
    <row r="28" spans="4:9" x14ac:dyDescent="0.45">
      <c r="D28" s="17">
        <v>27</v>
      </c>
      <c r="E28" s="18" t="s">
        <v>1202</v>
      </c>
      <c r="F28" s="17"/>
      <c r="G28" s="17">
        <v>27</v>
      </c>
      <c r="H28" s="17">
        <v>10</v>
      </c>
      <c r="I28" s="17">
        <v>27</v>
      </c>
    </row>
    <row r="29" spans="4:9" x14ac:dyDescent="0.45">
      <c r="D29" s="17">
        <v>28</v>
      </c>
      <c r="E29" s="18" t="s">
        <v>1093</v>
      </c>
      <c r="F29" s="17"/>
      <c r="G29" s="17">
        <v>28</v>
      </c>
      <c r="H29" s="17">
        <v>10</v>
      </c>
      <c r="I29" s="17">
        <v>28</v>
      </c>
    </row>
    <row r="30" spans="4:9" x14ac:dyDescent="0.45">
      <c r="D30" s="17">
        <v>29</v>
      </c>
      <c r="E30" s="18" t="s">
        <v>1033</v>
      </c>
      <c r="F30" s="17"/>
      <c r="G30" s="17">
        <v>29</v>
      </c>
      <c r="H30" s="17">
        <v>10</v>
      </c>
      <c r="I30" s="17">
        <v>29</v>
      </c>
    </row>
    <row r="31" spans="4:9" x14ac:dyDescent="0.45">
      <c r="D31" s="17">
        <v>30</v>
      </c>
      <c r="E31" s="18" t="s">
        <v>1369</v>
      </c>
      <c r="F31" s="17"/>
      <c r="G31" s="17">
        <v>30</v>
      </c>
      <c r="H31" s="17">
        <v>10</v>
      </c>
      <c r="I31" s="17">
        <v>30</v>
      </c>
    </row>
    <row r="32" spans="4:9" x14ac:dyDescent="0.45">
      <c r="D32" s="17">
        <v>31</v>
      </c>
      <c r="E32" s="18" t="s">
        <v>1112</v>
      </c>
      <c r="F32" s="17"/>
      <c r="G32" s="17">
        <v>31</v>
      </c>
      <c r="H32" s="17">
        <v>11</v>
      </c>
      <c r="I32" s="17">
        <v>31</v>
      </c>
    </row>
    <row r="33" spans="4:9" x14ac:dyDescent="0.45">
      <c r="D33" s="17">
        <v>32</v>
      </c>
      <c r="E33" s="18" t="s">
        <v>1325</v>
      </c>
      <c r="F33" s="17"/>
      <c r="G33" s="17">
        <v>32</v>
      </c>
      <c r="H33" s="17">
        <v>11</v>
      </c>
      <c r="I33" s="17">
        <v>32</v>
      </c>
    </row>
    <row r="34" spans="4:9" x14ac:dyDescent="0.45">
      <c r="D34" s="17">
        <v>33</v>
      </c>
      <c r="E34" s="18" t="s">
        <v>1030</v>
      </c>
      <c r="F34" s="17"/>
      <c r="G34" s="17">
        <v>33</v>
      </c>
      <c r="H34" s="17">
        <v>11</v>
      </c>
      <c r="I34" s="17">
        <v>33</v>
      </c>
    </row>
    <row r="35" spans="4:9" x14ac:dyDescent="0.45">
      <c r="D35" s="17">
        <v>34</v>
      </c>
      <c r="E35" s="18" t="s">
        <v>1011</v>
      </c>
      <c r="F35" s="17"/>
      <c r="G35" s="17">
        <v>34</v>
      </c>
      <c r="H35" s="17">
        <v>11</v>
      </c>
      <c r="I35" s="17">
        <v>34</v>
      </c>
    </row>
    <row r="36" spans="4:9" x14ac:dyDescent="0.45">
      <c r="D36" s="17">
        <v>35</v>
      </c>
      <c r="E36" s="18" t="s">
        <v>1230</v>
      </c>
      <c r="F36" s="17"/>
      <c r="G36" s="17">
        <v>35</v>
      </c>
      <c r="H36" s="17">
        <v>2</v>
      </c>
      <c r="I36" s="17">
        <v>35</v>
      </c>
    </row>
    <row r="37" spans="4:9" x14ac:dyDescent="0.45">
      <c r="D37" s="17">
        <v>36</v>
      </c>
      <c r="E37" s="18" t="s">
        <v>1054</v>
      </c>
      <c r="F37" s="17"/>
      <c r="G37" s="17">
        <v>36</v>
      </c>
      <c r="H37" s="17">
        <v>2</v>
      </c>
      <c r="I37" s="17">
        <v>36</v>
      </c>
    </row>
    <row r="38" spans="4:9" x14ac:dyDescent="0.45">
      <c r="D38" s="17">
        <v>37</v>
      </c>
      <c r="E38" s="18" t="s">
        <v>644</v>
      </c>
      <c r="F38" s="17"/>
      <c r="G38" s="17">
        <v>37</v>
      </c>
      <c r="H38" s="17">
        <v>12</v>
      </c>
      <c r="I38" s="17">
        <v>37</v>
      </c>
    </row>
    <row r="39" spans="4:9" x14ac:dyDescent="0.45">
      <c r="D39" s="17">
        <v>38</v>
      </c>
      <c r="E39" s="18" t="s">
        <v>640</v>
      </c>
      <c r="F39" s="17"/>
      <c r="G39" s="17">
        <v>38</v>
      </c>
      <c r="H39" s="17">
        <v>12</v>
      </c>
      <c r="I39" s="17">
        <v>38</v>
      </c>
    </row>
    <row r="40" spans="4:9" x14ac:dyDescent="0.45">
      <c r="D40" s="17">
        <v>39</v>
      </c>
      <c r="E40" s="18" t="s">
        <v>646</v>
      </c>
      <c r="F40" s="17"/>
      <c r="G40" s="17">
        <v>39</v>
      </c>
      <c r="H40" s="17">
        <v>12</v>
      </c>
      <c r="I40" s="17">
        <v>39</v>
      </c>
    </row>
    <row r="41" spans="4:9" x14ac:dyDescent="0.45">
      <c r="D41" s="17">
        <v>40</v>
      </c>
      <c r="E41" s="18" t="s">
        <v>642</v>
      </c>
      <c r="F41" s="17"/>
      <c r="G41" s="17">
        <v>40</v>
      </c>
      <c r="H41" s="17">
        <v>12</v>
      </c>
      <c r="I41" s="17">
        <v>40</v>
      </c>
    </row>
    <row r="42" spans="4:9" x14ac:dyDescent="0.45">
      <c r="D42" s="17">
        <v>41</v>
      </c>
      <c r="E42" s="18" t="s">
        <v>1016</v>
      </c>
      <c r="F42" s="17"/>
      <c r="G42" s="17">
        <v>41</v>
      </c>
      <c r="H42" s="17">
        <v>12</v>
      </c>
      <c r="I42" s="17">
        <v>41</v>
      </c>
    </row>
    <row r="43" spans="4:9" x14ac:dyDescent="0.45">
      <c r="D43" s="17">
        <v>42</v>
      </c>
      <c r="E43" s="18" t="s">
        <v>637</v>
      </c>
      <c r="F43" s="17"/>
      <c r="G43" s="17">
        <v>42</v>
      </c>
      <c r="H43" s="17">
        <v>12</v>
      </c>
      <c r="I43" s="17">
        <v>42</v>
      </c>
    </row>
    <row r="44" spans="4:9" x14ac:dyDescent="0.45">
      <c r="D44" s="17">
        <v>43</v>
      </c>
      <c r="E44" s="18" t="s">
        <v>650</v>
      </c>
      <c r="F44" s="17"/>
      <c r="G44" s="17">
        <v>43</v>
      </c>
      <c r="H44" s="17">
        <v>12</v>
      </c>
      <c r="I44" s="17">
        <v>43</v>
      </c>
    </row>
    <row r="45" spans="4:9" x14ac:dyDescent="0.45">
      <c r="D45" s="17">
        <v>44</v>
      </c>
      <c r="E45" s="18" t="s">
        <v>1533</v>
      </c>
      <c r="F45" s="17"/>
      <c r="G45" s="17">
        <v>44</v>
      </c>
      <c r="H45" s="17">
        <v>13</v>
      </c>
      <c r="I45" s="17">
        <v>44</v>
      </c>
    </row>
    <row r="46" spans="4:9" x14ac:dyDescent="0.45">
      <c r="D46" s="17">
        <v>45</v>
      </c>
      <c r="E46" s="18" t="s">
        <v>1271</v>
      </c>
      <c r="F46" s="17"/>
      <c r="G46" s="17">
        <v>45</v>
      </c>
      <c r="H46" s="17">
        <v>13</v>
      </c>
      <c r="I46" s="17">
        <v>45</v>
      </c>
    </row>
    <row r="47" spans="4:9" x14ac:dyDescent="0.45">
      <c r="D47" s="17">
        <v>46</v>
      </c>
      <c r="E47" s="18"/>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D85BC74578BB42A0585F6946EC0D98" ma:contentTypeVersion="15" ma:contentTypeDescription="Een nieuw document maken." ma:contentTypeScope="" ma:versionID="7f6669652b8a9494cf6878b108acc1f5">
  <xsd:schema xmlns:xsd="http://www.w3.org/2001/XMLSchema" xmlns:xs="http://www.w3.org/2001/XMLSchema" xmlns:p="http://schemas.microsoft.com/office/2006/metadata/properties" xmlns:ns2="5594bb78-8642-45b2-89c8-44475cac0ef9" xmlns:ns3="472cd993-c5ea-4ec8-8d69-f79dd9562118" targetNamespace="http://schemas.microsoft.com/office/2006/metadata/properties" ma:root="true" ma:fieldsID="795f23b030c4752bf303a19da2c886ce" ns2:_="" ns3:_="">
    <xsd:import namespace="5594bb78-8642-45b2-89c8-44475cac0ef9"/>
    <xsd:import namespace="472cd993-c5ea-4ec8-8d69-f79dd956211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94bb78-8642-45b2-89c8-44475cac0e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c6f371a7-af1e-4863-b830-9db92276c562"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2cd993-c5ea-4ec8-8d69-f79dd956211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10034c1-f40e-4b47-9af2-69160c6c7d05}" ma:internalName="TaxCatchAll" ma:showField="CatchAllData" ma:web="472cd993-c5ea-4ec8-8d69-f79dd956211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94bb78-8642-45b2-89c8-44475cac0ef9">
      <Terms xmlns="http://schemas.microsoft.com/office/infopath/2007/PartnerControls"/>
    </lcf76f155ced4ddcb4097134ff3c332f>
    <TaxCatchAll xmlns="472cd993-c5ea-4ec8-8d69-f79dd9562118" xsi:nil="true"/>
  </documentManagement>
</p:properties>
</file>

<file path=customXml/itemProps1.xml><?xml version="1.0" encoding="utf-8"?>
<ds:datastoreItem xmlns:ds="http://schemas.openxmlformats.org/officeDocument/2006/customXml" ds:itemID="{0344EE32-506F-4741-9017-74C7E5492606}">
  <ds:schemaRefs>
    <ds:schemaRef ds:uri="http://schemas.microsoft.com/sharepoint/v3/contenttype/forms"/>
  </ds:schemaRefs>
</ds:datastoreItem>
</file>

<file path=customXml/itemProps2.xml><?xml version="1.0" encoding="utf-8"?>
<ds:datastoreItem xmlns:ds="http://schemas.openxmlformats.org/officeDocument/2006/customXml" ds:itemID="{8E4B396C-5DDD-482D-99FC-E19E831E72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94bb78-8642-45b2-89c8-44475cac0ef9"/>
    <ds:schemaRef ds:uri="472cd993-c5ea-4ec8-8d69-f79dd95621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6A02B6-67FC-4138-ADF0-C8D5E23746B4}">
  <ds:schemaRefs>
    <ds:schemaRef ds:uri="http://schemas.microsoft.com/office/2006/metadata/properties"/>
    <ds:schemaRef ds:uri="http://schemas.microsoft.com/office/infopath/2007/PartnerControls"/>
    <ds:schemaRef ds:uri="5594bb78-8642-45b2-89c8-44475cac0ef9"/>
    <ds:schemaRef ds:uri="472cd993-c5ea-4ec8-8d69-f79dd95621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Gebruik</vt:lpstr>
      <vt:lpstr>Overzicht</vt:lpstr>
      <vt:lpstr>DefinitieMapping</vt:lpstr>
      <vt:lpstr>InstellingMapping</vt:lpstr>
      <vt:lpstr>Mapping uitleg NvD</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Niek Derksen</cp:lastModifiedBy>
  <cp:revision/>
  <dcterms:created xsi:type="dcterms:W3CDTF">2025-09-04T13:18:57Z</dcterms:created>
  <dcterms:modified xsi:type="dcterms:W3CDTF">2026-02-18T10:13:58Z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0x01010001D85BC74578BB42A0585F6946EC0D98</vt:lpwstr>
  </property>
  <property fmtid="{D5CDD505-2E9C-101B-9397-08002B2CF9AE}" pid="3" name="MediaServiceImageTags">
    <vt:lpwstr/>
  </property>
</Properties>
</file>